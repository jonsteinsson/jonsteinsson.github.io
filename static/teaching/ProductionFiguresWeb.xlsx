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JonPrivate\Textbook\CH2 Production\FiguresTables\"/>
    </mc:Choice>
  </mc:AlternateContent>
  <xr:revisionPtr revIDLastSave="0" documentId="8_{06CC398E-B348-42E2-B3A4-4DCDFA8A5F04}" xr6:coauthVersionLast="47" xr6:coauthVersionMax="47" xr10:uidLastSave="{00000000-0000-0000-0000-000000000000}"/>
  <bookViews>
    <workbookView xWindow="1560" yWindow="1560" windowWidth="21600" windowHeight="11175" activeTab="6" xr2:uid="{5A49139F-7635-4795-BC14-E0254E57C157}"/>
  </bookViews>
  <sheets>
    <sheet name="ReadMe" sheetId="1" r:id="rId1"/>
    <sheet name="Figure2and4" sheetId="2" r:id="rId2"/>
    <sheet name="Figure3" sheetId="5" r:id="rId3"/>
    <sheet name="Figure5" sheetId="7" r:id="rId4"/>
    <sheet name="Figure6" sheetId="4" r:id="rId5"/>
    <sheet name="Figure11" sheetId="10" r:id="rId6"/>
    <sheet name="Figure12" sheetId="11" r:id="rId7"/>
    <sheet name="Figure13" sheetId="9" r:id="rId8"/>
    <sheet name="Figure14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2" i="11" l="1"/>
  <c r="C102" i="11"/>
  <c r="B102" i="11"/>
  <c r="B3" i="11"/>
  <c r="C3" i="11"/>
  <c r="D3" i="11"/>
  <c r="B4" i="11"/>
  <c r="C4" i="11"/>
  <c r="D4" i="11"/>
  <c r="B5" i="11"/>
  <c r="C5" i="11"/>
  <c r="D5" i="11"/>
  <c r="B6" i="11"/>
  <c r="C6" i="11"/>
  <c r="D6" i="11"/>
  <c r="B7" i="11"/>
  <c r="C7" i="11"/>
  <c r="D7" i="11"/>
  <c r="B8" i="11"/>
  <c r="C8" i="11"/>
  <c r="D8" i="11"/>
  <c r="B9" i="11"/>
  <c r="C9" i="11"/>
  <c r="D9" i="11"/>
  <c r="B10" i="11"/>
  <c r="C10" i="11"/>
  <c r="D10" i="11"/>
  <c r="B11" i="11"/>
  <c r="C11" i="11"/>
  <c r="D11" i="11"/>
  <c r="B12" i="11"/>
  <c r="C12" i="11"/>
  <c r="D12" i="11"/>
  <c r="B13" i="11"/>
  <c r="C13" i="11"/>
  <c r="D13" i="11"/>
  <c r="B14" i="11"/>
  <c r="C14" i="11"/>
  <c r="D14" i="11"/>
  <c r="B15" i="11"/>
  <c r="C15" i="11"/>
  <c r="D15" i="11"/>
  <c r="B16" i="11"/>
  <c r="C16" i="11"/>
  <c r="D16" i="11"/>
  <c r="B17" i="11"/>
  <c r="C17" i="11"/>
  <c r="D17" i="11"/>
  <c r="B18" i="11"/>
  <c r="C18" i="11"/>
  <c r="D18" i="11"/>
  <c r="B19" i="11"/>
  <c r="C19" i="11"/>
  <c r="D19" i="11"/>
  <c r="B20" i="11"/>
  <c r="C20" i="11"/>
  <c r="D20" i="11"/>
  <c r="B21" i="11"/>
  <c r="C21" i="11"/>
  <c r="D21" i="11"/>
  <c r="B22" i="11"/>
  <c r="C22" i="11"/>
  <c r="D22" i="11"/>
  <c r="B23" i="11"/>
  <c r="C23" i="11"/>
  <c r="D23" i="11"/>
  <c r="B24" i="11"/>
  <c r="C24" i="11"/>
  <c r="D24" i="11"/>
  <c r="B25" i="11"/>
  <c r="C25" i="11"/>
  <c r="D25" i="11"/>
  <c r="B26" i="11"/>
  <c r="C26" i="11"/>
  <c r="D26" i="11"/>
  <c r="B27" i="11"/>
  <c r="C27" i="11"/>
  <c r="D27" i="11"/>
  <c r="B28" i="11"/>
  <c r="C28" i="11"/>
  <c r="D28" i="11"/>
  <c r="B29" i="11"/>
  <c r="C29" i="11"/>
  <c r="D29" i="11"/>
  <c r="B30" i="11"/>
  <c r="C30" i="11"/>
  <c r="D30" i="11"/>
  <c r="B31" i="11"/>
  <c r="C31" i="11"/>
  <c r="D31" i="11"/>
  <c r="B32" i="11"/>
  <c r="C32" i="11"/>
  <c r="D32" i="11"/>
  <c r="B33" i="11"/>
  <c r="C33" i="11"/>
  <c r="D33" i="11"/>
  <c r="B34" i="11"/>
  <c r="C34" i="11"/>
  <c r="D34" i="11"/>
  <c r="B35" i="11"/>
  <c r="C35" i="11"/>
  <c r="D35" i="11"/>
  <c r="B36" i="11"/>
  <c r="C36" i="11"/>
  <c r="D36" i="11"/>
  <c r="B37" i="11"/>
  <c r="C37" i="11"/>
  <c r="D37" i="11"/>
  <c r="B38" i="11"/>
  <c r="C38" i="11"/>
  <c r="D38" i="11"/>
  <c r="B39" i="11"/>
  <c r="C39" i="11"/>
  <c r="D39" i="11"/>
  <c r="B40" i="11"/>
  <c r="C40" i="11"/>
  <c r="D40" i="11"/>
  <c r="B41" i="11"/>
  <c r="C41" i="11"/>
  <c r="D41" i="11"/>
  <c r="B42" i="11"/>
  <c r="C42" i="11"/>
  <c r="D42" i="11"/>
  <c r="B43" i="11"/>
  <c r="C43" i="11"/>
  <c r="D43" i="11"/>
  <c r="B44" i="11"/>
  <c r="C44" i="11"/>
  <c r="D44" i="11"/>
  <c r="B45" i="11"/>
  <c r="C45" i="11"/>
  <c r="D45" i="11"/>
  <c r="B46" i="11"/>
  <c r="C46" i="11"/>
  <c r="D46" i="11"/>
  <c r="B47" i="11"/>
  <c r="C47" i="11"/>
  <c r="D47" i="11"/>
  <c r="B48" i="11"/>
  <c r="C48" i="11"/>
  <c r="D48" i="11"/>
  <c r="B49" i="11"/>
  <c r="C49" i="11"/>
  <c r="D49" i="11"/>
  <c r="B50" i="11"/>
  <c r="C50" i="11"/>
  <c r="D50" i="11"/>
  <c r="B51" i="11"/>
  <c r="C51" i="11"/>
  <c r="D51" i="11"/>
  <c r="B52" i="11"/>
  <c r="C52" i="11"/>
  <c r="D52" i="11"/>
  <c r="B53" i="11"/>
  <c r="C53" i="11"/>
  <c r="D53" i="11"/>
  <c r="B54" i="11"/>
  <c r="C54" i="11"/>
  <c r="D54" i="11"/>
  <c r="B55" i="11"/>
  <c r="C55" i="11"/>
  <c r="D55" i="11"/>
  <c r="B56" i="11"/>
  <c r="C56" i="11"/>
  <c r="D56" i="11"/>
  <c r="B57" i="11"/>
  <c r="C57" i="11"/>
  <c r="D57" i="11"/>
  <c r="B58" i="11"/>
  <c r="C58" i="11"/>
  <c r="D58" i="11"/>
  <c r="B59" i="11"/>
  <c r="C59" i="11"/>
  <c r="D59" i="11"/>
  <c r="B60" i="11"/>
  <c r="C60" i="11"/>
  <c r="D60" i="11"/>
  <c r="B61" i="11"/>
  <c r="C61" i="11"/>
  <c r="D61" i="11"/>
  <c r="B62" i="11"/>
  <c r="C62" i="11"/>
  <c r="D62" i="11"/>
  <c r="B63" i="11"/>
  <c r="C63" i="11"/>
  <c r="D63" i="11"/>
  <c r="B64" i="11"/>
  <c r="C64" i="11"/>
  <c r="D64" i="11"/>
  <c r="B65" i="11"/>
  <c r="C65" i="11"/>
  <c r="D65" i="11"/>
  <c r="B66" i="11"/>
  <c r="C66" i="11"/>
  <c r="D66" i="11"/>
  <c r="B67" i="11"/>
  <c r="C67" i="11"/>
  <c r="D67" i="11"/>
  <c r="B68" i="11"/>
  <c r="C68" i="11"/>
  <c r="D68" i="11"/>
  <c r="B69" i="11"/>
  <c r="C69" i="11"/>
  <c r="D69" i="11"/>
  <c r="B70" i="11"/>
  <c r="C70" i="11"/>
  <c r="D70" i="11"/>
  <c r="B71" i="11"/>
  <c r="C71" i="11"/>
  <c r="D71" i="11"/>
  <c r="B72" i="11"/>
  <c r="C72" i="11"/>
  <c r="D72" i="11"/>
  <c r="B73" i="11"/>
  <c r="C73" i="11"/>
  <c r="D73" i="11"/>
  <c r="B74" i="11"/>
  <c r="C74" i="11"/>
  <c r="D74" i="11"/>
  <c r="B75" i="11"/>
  <c r="C75" i="11"/>
  <c r="D75" i="11"/>
  <c r="B76" i="11"/>
  <c r="C76" i="11"/>
  <c r="D76" i="11"/>
  <c r="B77" i="11"/>
  <c r="C77" i="11"/>
  <c r="D77" i="11"/>
  <c r="B78" i="11"/>
  <c r="C78" i="11"/>
  <c r="D78" i="11"/>
  <c r="B79" i="11"/>
  <c r="C79" i="11"/>
  <c r="D79" i="11"/>
  <c r="B80" i="11"/>
  <c r="C80" i="11"/>
  <c r="D80" i="11"/>
  <c r="B81" i="11"/>
  <c r="C81" i="11"/>
  <c r="D81" i="11"/>
  <c r="B82" i="11"/>
  <c r="C82" i="11"/>
  <c r="D82" i="11"/>
  <c r="B83" i="11"/>
  <c r="C83" i="11"/>
  <c r="D83" i="11"/>
  <c r="B84" i="11"/>
  <c r="C84" i="11"/>
  <c r="D84" i="11"/>
  <c r="B85" i="11"/>
  <c r="C85" i="11"/>
  <c r="D85" i="11"/>
  <c r="B86" i="11"/>
  <c r="C86" i="11"/>
  <c r="D86" i="11"/>
  <c r="B87" i="11"/>
  <c r="C87" i="11"/>
  <c r="D87" i="11"/>
  <c r="B88" i="11"/>
  <c r="C88" i="11"/>
  <c r="D88" i="11"/>
  <c r="B89" i="11"/>
  <c r="C89" i="11"/>
  <c r="D89" i="11"/>
  <c r="B90" i="11"/>
  <c r="C90" i="11"/>
  <c r="D90" i="11"/>
  <c r="B91" i="11"/>
  <c r="C91" i="11"/>
  <c r="D91" i="11"/>
  <c r="B92" i="11"/>
  <c r="C92" i="11"/>
  <c r="D92" i="11"/>
  <c r="B93" i="11"/>
  <c r="C93" i="11"/>
  <c r="D93" i="11"/>
  <c r="B94" i="11"/>
  <c r="C94" i="11"/>
  <c r="D94" i="11"/>
  <c r="B95" i="11"/>
  <c r="C95" i="11"/>
  <c r="D95" i="11"/>
  <c r="B96" i="11"/>
  <c r="C96" i="11"/>
  <c r="D96" i="11"/>
  <c r="B97" i="11"/>
  <c r="C97" i="11"/>
  <c r="D97" i="11"/>
  <c r="B98" i="11"/>
  <c r="C98" i="11"/>
  <c r="D98" i="11"/>
  <c r="B99" i="11"/>
  <c r="C99" i="11"/>
  <c r="D99" i="11"/>
  <c r="B100" i="11"/>
  <c r="C100" i="11"/>
  <c r="D100" i="11"/>
  <c r="B101" i="11"/>
  <c r="C101" i="11"/>
  <c r="D101" i="11"/>
  <c r="C2" i="11"/>
  <c r="D2" i="11"/>
  <c r="B2" i="11"/>
  <c r="D3" i="10" l="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" i="10"/>
  <c r="D14" i="5"/>
  <c r="C3" i="5"/>
  <c r="C4" i="5"/>
  <c r="C5" i="5"/>
  <c r="C6" i="5"/>
  <c r="C7" i="5"/>
  <c r="C8" i="5"/>
  <c r="C9" i="5"/>
  <c r="C10" i="5"/>
  <c r="C11" i="5"/>
  <c r="C12" i="5"/>
  <c r="C13" i="5"/>
  <c r="C14" i="5"/>
  <c r="C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2" i="4"/>
  <c r="C7" i="2"/>
  <c r="C6" i="2"/>
  <c r="C5" i="2"/>
</calcChain>
</file>

<file path=xl/sharedStrings.xml><?xml version="1.0" encoding="utf-8"?>
<sst xmlns="http://schemas.openxmlformats.org/spreadsheetml/2006/main" count="104" uniqueCount="95">
  <si>
    <t>Labor Share in the United States, 1947-2024</t>
  </si>
  <si>
    <t>Bureau of Labor Statistics, Office of Productivity and Technology</t>
  </si>
  <si>
    <t xml:space="preserve">Labor Productivity by Major Sectors: Nonfarm Business, Business, Nonfinancial Corporate, and Manufacturing </t>
  </si>
  <si>
    <t>Retrieved by Jon Steinsson, May 5th 2025</t>
  </si>
  <si>
    <t>Nonfarm business sector</t>
  </si>
  <si>
    <t>All workers</t>
  </si>
  <si>
    <t>Labor share</t>
  </si>
  <si>
    <t>Percentage</t>
  </si>
  <si>
    <t>FIGURE 2</t>
  </si>
  <si>
    <t>FIGURE 3</t>
  </si>
  <si>
    <t>Year</t>
  </si>
  <si>
    <t>P_Y</t>
  </si>
  <si>
    <t>P_C</t>
  </si>
  <si>
    <t>P_I</t>
  </si>
  <si>
    <t>P_I / P_Y</t>
  </si>
  <si>
    <t>Price of Investment Relative to Output in the United States</t>
  </si>
  <si>
    <t>Bureau of Economic Analysis</t>
  </si>
  <si>
    <t>National Income and Product Accounts, Table 1.1.14</t>
  </si>
  <si>
    <t>Retrieved by Jon Steinsson, June 2025</t>
  </si>
  <si>
    <t>Horses and Mules</t>
  </si>
  <si>
    <t>FIGURE 4</t>
  </si>
  <si>
    <t>Number of Horses and Mules in the United States, 1900-1960</t>
  </si>
  <si>
    <t>Kilby (2007) adapted from Ensminger (1969) [XX Look at that Reference XX]</t>
  </si>
  <si>
    <t>Transcribed by Jon Steinsson, June 2025</t>
  </si>
  <si>
    <t>FIGURE 5</t>
  </si>
  <si>
    <t>year</t>
  </si>
  <si>
    <t>LaborShare_BEA</t>
  </si>
  <si>
    <t>LaborShare_Pre1999Revision</t>
  </si>
  <si>
    <t>LaborShare_BEA_Trend</t>
  </si>
  <si>
    <t>LaborShare_Pre1999Revision_Trend</t>
  </si>
  <si>
    <t>FIGURE 6</t>
  </si>
  <si>
    <t>Labor Share in the United States, 1929-2018</t>
  </si>
  <si>
    <t>Koh, D., R. Santaeulalia-Llopis, Y. Zheng (2020): "Labor Share Decline and Intellectual Property Products Capital," Econometrica, 88, 2609-2628.</t>
  </si>
  <si>
    <t>Reproduction of Figure 2 of Koh et al. (2020)</t>
  </si>
  <si>
    <t>Reproduced by Alex Blumenfeld, Spring 2025</t>
  </si>
  <si>
    <t>yyear</t>
  </si>
  <si>
    <t>Industries</t>
  </si>
  <si>
    <t>Occupations</t>
  </si>
  <si>
    <t>1850-1860</t>
  </si>
  <si>
    <t>1860-1870</t>
  </si>
  <si>
    <t>1870-1880</t>
  </si>
  <si>
    <t>1880-1900</t>
  </si>
  <si>
    <t>1900-1910</t>
  </si>
  <si>
    <t>1910-1920</t>
  </si>
  <si>
    <t>1920-1930</t>
  </si>
  <si>
    <t>1930-1940</t>
  </si>
  <si>
    <t>1940-1950</t>
  </si>
  <si>
    <t>1950-1960</t>
  </si>
  <si>
    <t>1960-1970</t>
  </si>
  <si>
    <t>1970-1980</t>
  </si>
  <si>
    <t>1980-1990</t>
  </si>
  <si>
    <t>1990-2000</t>
  </si>
  <si>
    <t>2000-2010</t>
  </si>
  <si>
    <t>2010-2018</t>
  </si>
  <si>
    <t>1850s</t>
  </si>
  <si>
    <t>1860s</t>
  </si>
  <si>
    <t>1870s</t>
  </si>
  <si>
    <t>1880s-90s</t>
  </si>
  <si>
    <t>1900s</t>
  </si>
  <si>
    <t>1910s</t>
  </si>
  <si>
    <t>1920s</t>
  </si>
  <si>
    <t>1930s</t>
  </si>
  <si>
    <t>1940s</t>
  </si>
  <si>
    <t>1950s</t>
  </si>
  <si>
    <t>1960s</t>
  </si>
  <si>
    <t>1970s</t>
  </si>
  <si>
    <t>1980s</t>
  </si>
  <si>
    <t>1990s</t>
  </si>
  <si>
    <t>2000s</t>
  </si>
  <si>
    <t>2010s</t>
  </si>
  <si>
    <t>Decadal Occupation Shifts in the United States</t>
  </si>
  <si>
    <t>U.S. Census from IPUMS</t>
  </si>
  <si>
    <t>Analysis by Caleb Wroblewski in 2020</t>
  </si>
  <si>
    <t>Agriculture, Forestry, Fishing</t>
  </si>
  <si>
    <t>Mining</t>
  </si>
  <si>
    <t>Construction</t>
  </si>
  <si>
    <t>Durable Manufacturing</t>
  </si>
  <si>
    <t>Nondurable Manufacturing</t>
  </si>
  <si>
    <t>Transportation</t>
  </si>
  <si>
    <t>Telecommunications</t>
  </si>
  <si>
    <t>Utilities</t>
  </si>
  <si>
    <t>Wholesale Trade</t>
  </si>
  <si>
    <t>Retail Trade</t>
  </si>
  <si>
    <t>Finance, Insurance, Real Estate</t>
  </si>
  <si>
    <t>Business and Repair Services</t>
  </si>
  <si>
    <t>Personal Services</t>
  </si>
  <si>
    <t>Entertainment and Recreation Services</t>
  </si>
  <si>
    <t>Professional Services</t>
  </si>
  <si>
    <t>Public Administration</t>
  </si>
  <si>
    <t>Manufacturing</t>
  </si>
  <si>
    <t>Wholesale and Retail Trade</t>
  </si>
  <si>
    <t>Professional Services + FIRE</t>
  </si>
  <si>
    <t>Share of Employment in Select Industries in the United States</t>
  </si>
  <si>
    <t>FIGURE 13</t>
  </si>
  <si>
    <t>FIGURE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</si>
</sst>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0.0"/>
    <numFmt numFmtId="165" formatCode="0.0000"/>
    <numFmt numFmtId="166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104986876640425E-2"/>
          <c:y val="9.6216961366671266E-2"/>
          <c:w val="0.89711723534558185"/>
          <c:h val="0.8111908297647004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Figure2and4!$A$5:$A$82</c:f>
              <c:numCache>
                <c:formatCode>General</c:formatCode>
                <c:ptCount val="78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  <c:pt idx="65">
                  <c:v>2012</c:v>
                </c:pt>
                <c:pt idx="66">
                  <c:v>2013</c:v>
                </c:pt>
                <c:pt idx="67">
                  <c:v>2014</c:v>
                </c:pt>
                <c:pt idx="68">
                  <c:v>2015</c:v>
                </c:pt>
                <c:pt idx="69">
                  <c:v>2016</c:v>
                </c:pt>
                <c:pt idx="70">
                  <c:v>2017</c:v>
                </c:pt>
                <c:pt idx="71">
                  <c:v>2018</c:v>
                </c:pt>
                <c:pt idx="72">
                  <c:v>2019</c:v>
                </c:pt>
                <c:pt idx="73">
                  <c:v>2020</c:v>
                </c:pt>
                <c:pt idx="74">
                  <c:v>2021</c:v>
                </c:pt>
                <c:pt idx="75">
                  <c:v>2022</c:v>
                </c:pt>
                <c:pt idx="76">
                  <c:v>2023</c:v>
                </c:pt>
                <c:pt idx="77">
                  <c:v>2024</c:v>
                </c:pt>
              </c:numCache>
            </c:numRef>
          </c:cat>
          <c:val>
            <c:numRef>
              <c:f>Figure2and4!$B$5:$B$82</c:f>
              <c:numCache>
                <c:formatCode>##0.0</c:formatCode>
                <c:ptCount val="78"/>
                <c:pt idx="0">
                  <c:v>65.099999999999994</c:v>
                </c:pt>
                <c:pt idx="1">
                  <c:v>64.7</c:v>
                </c:pt>
                <c:pt idx="2">
                  <c:v>64</c:v>
                </c:pt>
                <c:pt idx="3">
                  <c:v>62.9</c:v>
                </c:pt>
                <c:pt idx="4">
                  <c:v>62.6</c:v>
                </c:pt>
                <c:pt idx="5">
                  <c:v>63.5</c:v>
                </c:pt>
                <c:pt idx="6">
                  <c:v>64.2</c:v>
                </c:pt>
                <c:pt idx="7">
                  <c:v>64.400000000000006</c:v>
                </c:pt>
                <c:pt idx="8">
                  <c:v>62.9</c:v>
                </c:pt>
                <c:pt idx="9">
                  <c:v>64.8</c:v>
                </c:pt>
                <c:pt idx="10">
                  <c:v>64.8</c:v>
                </c:pt>
                <c:pt idx="11">
                  <c:v>64.8</c:v>
                </c:pt>
                <c:pt idx="12">
                  <c:v>64</c:v>
                </c:pt>
                <c:pt idx="13">
                  <c:v>65.3</c:v>
                </c:pt>
                <c:pt idx="14">
                  <c:v>64.8</c:v>
                </c:pt>
                <c:pt idx="15">
                  <c:v>63.9</c:v>
                </c:pt>
                <c:pt idx="16">
                  <c:v>63.4</c:v>
                </c:pt>
                <c:pt idx="17">
                  <c:v>62.7</c:v>
                </c:pt>
                <c:pt idx="18">
                  <c:v>62</c:v>
                </c:pt>
                <c:pt idx="19">
                  <c:v>62</c:v>
                </c:pt>
                <c:pt idx="20">
                  <c:v>62.4</c:v>
                </c:pt>
                <c:pt idx="21">
                  <c:v>62.5</c:v>
                </c:pt>
                <c:pt idx="22">
                  <c:v>63.8</c:v>
                </c:pt>
                <c:pt idx="23">
                  <c:v>64.400000000000006</c:v>
                </c:pt>
                <c:pt idx="24">
                  <c:v>63</c:v>
                </c:pt>
                <c:pt idx="25">
                  <c:v>62.9</c:v>
                </c:pt>
                <c:pt idx="26">
                  <c:v>63.5</c:v>
                </c:pt>
                <c:pt idx="27">
                  <c:v>64</c:v>
                </c:pt>
                <c:pt idx="28">
                  <c:v>62.2</c:v>
                </c:pt>
                <c:pt idx="29">
                  <c:v>61.4</c:v>
                </c:pt>
                <c:pt idx="30">
                  <c:v>61.5</c:v>
                </c:pt>
                <c:pt idx="31">
                  <c:v>61.8</c:v>
                </c:pt>
                <c:pt idx="32">
                  <c:v>62.6</c:v>
                </c:pt>
                <c:pt idx="33">
                  <c:v>63.3</c:v>
                </c:pt>
                <c:pt idx="34">
                  <c:v>62.4</c:v>
                </c:pt>
                <c:pt idx="35">
                  <c:v>63.6</c:v>
                </c:pt>
                <c:pt idx="36">
                  <c:v>61.7</c:v>
                </c:pt>
                <c:pt idx="37">
                  <c:v>61.2</c:v>
                </c:pt>
                <c:pt idx="38">
                  <c:v>61.3</c:v>
                </c:pt>
                <c:pt idx="39">
                  <c:v>62</c:v>
                </c:pt>
                <c:pt idx="40">
                  <c:v>62.8</c:v>
                </c:pt>
                <c:pt idx="41">
                  <c:v>63.1</c:v>
                </c:pt>
                <c:pt idx="42">
                  <c:v>62.1</c:v>
                </c:pt>
                <c:pt idx="43">
                  <c:v>62.5</c:v>
                </c:pt>
                <c:pt idx="44">
                  <c:v>62.5</c:v>
                </c:pt>
                <c:pt idx="45">
                  <c:v>62.5</c:v>
                </c:pt>
                <c:pt idx="46">
                  <c:v>61.8</c:v>
                </c:pt>
                <c:pt idx="47">
                  <c:v>60.8</c:v>
                </c:pt>
                <c:pt idx="48">
                  <c:v>60.6</c:v>
                </c:pt>
                <c:pt idx="49">
                  <c:v>60.5</c:v>
                </c:pt>
                <c:pt idx="50">
                  <c:v>60.7</c:v>
                </c:pt>
                <c:pt idx="51">
                  <c:v>61.9</c:v>
                </c:pt>
                <c:pt idx="52">
                  <c:v>61.9</c:v>
                </c:pt>
                <c:pt idx="53">
                  <c:v>63</c:v>
                </c:pt>
                <c:pt idx="54">
                  <c:v>63.1</c:v>
                </c:pt>
                <c:pt idx="55">
                  <c:v>61.4</c:v>
                </c:pt>
                <c:pt idx="56">
                  <c:v>60.6</c:v>
                </c:pt>
                <c:pt idx="57">
                  <c:v>60.1</c:v>
                </c:pt>
                <c:pt idx="58">
                  <c:v>59</c:v>
                </c:pt>
                <c:pt idx="59">
                  <c:v>58.9</c:v>
                </c:pt>
                <c:pt idx="60">
                  <c:v>59.2</c:v>
                </c:pt>
                <c:pt idx="61">
                  <c:v>59.4</c:v>
                </c:pt>
                <c:pt idx="62">
                  <c:v>57.6</c:v>
                </c:pt>
                <c:pt idx="63">
                  <c:v>56.2</c:v>
                </c:pt>
                <c:pt idx="64">
                  <c:v>56.3</c:v>
                </c:pt>
                <c:pt idx="65">
                  <c:v>56.2</c:v>
                </c:pt>
                <c:pt idx="66">
                  <c:v>55.7</c:v>
                </c:pt>
                <c:pt idx="67">
                  <c:v>55.8</c:v>
                </c:pt>
                <c:pt idx="68">
                  <c:v>56.4</c:v>
                </c:pt>
                <c:pt idx="69">
                  <c:v>56.2</c:v>
                </c:pt>
                <c:pt idx="70">
                  <c:v>56.5</c:v>
                </c:pt>
                <c:pt idx="71">
                  <c:v>56.4</c:v>
                </c:pt>
                <c:pt idx="72">
                  <c:v>56.5</c:v>
                </c:pt>
                <c:pt idx="73">
                  <c:v>57.8</c:v>
                </c:pt>
                <c:pt idx="74">
                  <c:v>56.8</c:v>
                </c:pt>
                <c:pt idx="75">
                  <c:v>55.4</c:v>
                </c:pt>
                <c:pt idx="76">
                  <c:v>54.7</c:v>
                </c:pt>
                <c:pt idx="77">
                  <c:v>54.9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6B-401E-B5D8-E72E607F3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2165328"/>
        <c:axId val="1931057472"/>
      </c:lineChart>
      <c:catAx>
        <c:axId val="186216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931057472"/>
        <c:crosses val="autoZero"/>
        <c:auto val="1"/>
        <c:lblAlgn val="ctr"/>
        <c:lblOffset val="100"/>
        <c:tickLblSkip val="10"/>
        <c:noMultiLvlLbl val="0"/>
      </c:catAx>
      <c:valAx>
        <c:axId val="1931057472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1.0101010101010102E-2"/>
              <c:y val="8.1537505180273324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86216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104986876640425E-2"/>
          <c:y val="9.6216961366671266E-2"/>
          <c:w val="0.89711723534558185"/>
          <c:h val="0.8111908297647004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Figure2and4!$A$5:$A$82</c:f>
              <c:numCache>
                <c:formatCode>General</c:formatCode>
                <c:ptCount val="78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  <c:pt idx="65">
                  <c:v>2012</c:v>
                </c:pt>
                <c:pt idx="66">
                  <c:v>2013</c:v>
                </c:pt>
                <c:pt idx="67">
                  <c:v>2014</c:v>
                </c:pt>
                <c:pt idx="68">
                  <c:v>2015</c:v>
                </c:pt>
                <c:pt idx="69">
                  <c:v>2016</c:v>
                </c:pt>
                <c:pt idx="70">
                  <c:v>2017</c:v>
                </c:pt>
                <c:pt idx="71">
                  <c:v>2018</c:v>
                </c:pt>
                <c:pt idx="72">
                  <c:v>2019</c:v>
                </c:pt>
                <c:pt idx="73">
                  <c:v>2020</c:v>
                </c:pt>
                <c:pt idx="74">
                  <c:v>2021</c:v>
                </c:pt>
                <c:pt idx="75">
                  <c:v>2022</c:v>
                </c:pt>
                <c:pt idx="76">
                  <c:v>2023</c:v>
                </c:pt>
                <c:pt idx="77">
                  <c:v>2024</c:v>
                </c:pt>
              </c:numCache>
            </c:numRef>
          </c:cat>
          <c:val>
            <c:numRef>
              <c:f>Figure2and4!$B$5:$B$82</c:f>
              <c:numCache>
                <c:formatCode>##0.0</c:formatCode>
                <c:ptCount val="78"/>
                <c:pt idx="0">
                  <c:v>65.099999999999994</c:v>
                </c:pt>
                <c:pt idx="1">
                  <c:v>64.7</c:v>
                </c:pt>
                <c:pt idx="2">
                  <c:v>64</c:v>
                </c:pt>
                <c:pt idx="3">
                  <c:v>62.9</c:v>
                </c:pt>
                <c:pt idx="4">
                  <c:v>62.6</c:v>
                </c:pt>
                <c:pt idx="5">
                  <c:v>63.5</c:v>
                </c:pt>
                <c:pt idx="6">
                  <c:v>64.2</c:v>
                </c:pt>
                <c:pt idx="7">
                  <c:v>64.400000000000006</c:v>
                </c:pt>
                <c:pt idx="8">
                  <c:v>62.9</c:v>
                </c:pt>
                <c:pt idx="9">
                  <c:v>64.8</c:v>
                </c:pt>
                <c:pt idx="10">
                  <c:v>64.8</c:v>
                </c:pt>
                <c:pt idx="11">
                  <c:v>64.8</c:v>
                </c:pt>
                <c:pt idx="12">
                  <c:v>64</c:v>
                </c:pt>
                <c:pt idx="13">
                  <c:v>65.3</c:v>
                </c:pt>
                <c:pt idx="14">
                  <c:v>64.8</c:v>
                </c:pt>
                <c:pt idx="15">
                  <c:v>63.9</c:v>
                </c:pt>
                <c:pt idx="16">
                  <c:v>63.4</c:v>
                </c:pt>
                <c:pt idx="17">
                  <c:v>62.7</c:v>
                </c:pt>
                <c:pt idx="18">
                  <c:v>62</c:v>
                </c:pt>
                <c:pt idx="19">
                  <c:v>62</c:v>
                </c:pt>
                <c:pt idx="20">
                  <c:v>62.4</c:v>
                </c:pt>
                <c:pt idx="21">
                  <c:v>62.5</c:v>
                </c:pt>
                <c:pt idx="22">
                  <c:v>63.8</c:v>
                </c:pt>
                <c:pt idx="23">
                  <c:v>64.400000000000006</c:v>
                </c:pt>
                <c:pt idx="24">
                  <c:v>63</c:v>
                </c:pt>
                <c:pt idx="25">
                  <c:v>62.9</c:v>
                </c:pt>
                <c:pt idx="26">
                  <c:v>63.5</c:v>
                </c:pt>
                <c:pt idx="27">
                  <c:v>64</c:v>
                </c:pt>
                <c:pt idx="28">
                  <c:v>62.2</c:v>
                </c:pt>
                <c:pt idx="29">
                  <c:v>61.4</c:v>
                </c:pt>
                <c:pt idx="30">
                  <c:v>61.5</c:v>
                </c:pt>
                <c:pt idx="31">
                  <c:v>61.8</c:v>
                </c:pt>
                <c:pt idx="32">
                  <c:v>62.6</c:v>
                </c:pt>
                <c:pt idx="33">
                  <c:v>63.3</c:v>
                </c:pt>
                <c:pt idx="34">
                  <c:v>62.4</c:v>
                </c:pt>
                <c:pt idx="35">
                  <c:v>63.6</c:v>
                </c:pt>
                <c:pt idx="36">
                  <c:v>61.7</c:v>
                </c:pt>
                <c:pt idx="37">
                  <c:v>61.2</c:v>
                </c:pt>
                <c:pt idx="38">
                  <c:v>61.3</c:v>
                </c:pt>
                <c:pt idx="39">
                  <c:v>62</c:v>
                </c:pt>
                <c:pt idx="40">
                  <c:v>62.8</c:v>
                </c:pt>
                <c:pt idx="41">
                  <c:v>63.1</c:v>
                </c:pt>
                <c:pt idx="42">
                  <c:v>62.1</c:v>
                </c:pt>
                <c:pt idx="43">
                  <c:v>62.5</c:v>
                </c:pt>
                <c:pt idx="44">
                  <c:v>62.5</c:v>
                </c:pt>
                <c:pt idx="45">
                  <c:v>62.5</c:v>
                </c:pt>
                <c:pt idx="46">
                  <c:v>61.8</c:v>
                </c:pt>
                <c:pt idx="47">
                  <c:v>60.8</c:v>
                </c:pt>
                <c:pt idx="48">
                  <c:v>60.6</c:v>
                </c:pt>
                <c:pt idx="49">
                  <c:v>60.5</c:v>
                </c:pt>
                <c:pt idx="50">
                  <c:v>60.7</c:v>
                </c:pt>
                <c:pt idx="51">
                  <c:v>61.9</c:v>
                </c:pt>
                <c:pt idx="52">
                  <c:v>61.9</c:v>
                </c:pt>
                <c:pt idx="53">
                  <c:v>63</c:v>
                </c:pt>
                <c:pt idx="54">
                  <c:v>63.1</c:v>
                </c:pt>
                <c:pt idx="55">
                  <c:v>61.4</c:v>
                </c:pt>
                <c:pt idx="56">
                  <c:v>60.6</c:v>
                </c:pt>
                <c:pt idx="57">
                  <c:v>60.1</c:v>
                </c:pt>
                <c:pt idx="58">
                  <c:v>59</c:v>
                </c:pt>
                <c:pt idx="59">
                  <c:v>58.9</c:v>
                </c:pt>
                <c:pt idx="60">
                  <c:v>59.2</c:v>
                </c:pt>
                <c:pt idx="61">
                  <c:v>59.4</c:v>
                </c:pt>
                <c:pt idx="62">
                  <c:v>57.6</c:v>
                </c:pt>
                <c:pt idx="63">
                  <c:v>56.2</c:v>
                </c:pt>
                <c:pt idx="64">
                  <c:v>56.3</c:v>
                </c:pt>
                <c:pt idx="65">
                  <c:v>56.2</c:v>
                </c:pt>
                <c:pt idx="66">
                  <c:v>55.7</c:v>
                </c:pt>
                <c:pt idx="67">
                  <c:v>55.8</c:v>
                </c:pt>
                <c:pt idx="68">
                  <c:v>56.4</c:v>
                </c:pt>
                <c:pt idx="69">
                  <c:v>56.2</c:v>
                </c:pt>
                <c:pt idx="70">
                  <c:v>56.5</c:v>
                </c:pt>
                <c:pt idx="71">
                  <c:v>56.4</c:v>
                </c:pt>
                <c:pt idx="72">
                  <c:v>56.5</c:v>
                </c:pt>
                <c:pt idx="73">
                  <c:v>57.8</c:v>
                </c:pt>
                <c:pt idx="74">
                  <c:v>56.8</c:v>
                </c:pt>
                <c:pt idx="75">
                  <c:v>55.4</c:v>
                </c:pt>
                <c:pt idx="76">
                  <c:v>54.7</c:v>
                </c:pt>
                <c:pt idx="77">
                  <c:v>54.9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77-4259-8707-3AE6EB8FE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2165328"/>
        <c:axId val="1931057472"/>
      </c:lineChart>
      <c:catAx>
        <c:axId val="186216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931057472"/>
        <c:crosses val="autoZero"/>
        <c:auto val="1"/>
        <c:lblAlgn val="ctr"/>
        <c:lblOffset val="100"/>
        <c:tickLblSkip val="10"/>
        <c:noMultiLvlLbl val="0"/>
      </c:catAx>
      <c:valAx>
        <c:axId val="1931057472"/>
        <c:scaling>
          <c:orientation val="minMax"/>
          <c:max val="70"/>
          <c:min val="5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1.0101010101010102E-2"/>
              <c:y val="8.1537505180273324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86216532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81158037063549E-2"/>
          <c:y val="8.8907307639176703E-2"/>
          <c:w val="0.90039549033643518"/>
          <c:h val="0.8242258369019663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Figure3!$A$2:$A$14</c:f>
              <c:numCache>
                <c:formatCode>General</c:formatCode>
                <c:ptCount val="13"/>
                <c:pt idx="0">
                  <c:v>1900</c:v>
                </c:pt>
                <c:pt idx="1">
                  <c:v>1905</c:v>
                </c:pt>
                <c:pt idx="2">
                  <c:v>1910</c:v>
                </c:pt>
                <c:pt idx="3">
                  <c:v>1915</c:v>
                </c:pt>
                <c:pt idx="4">
                  <c:v>1920</c:v>
                </c:pt>
                <c:pt idx="5">
                  <c:v>1925</c:v>
                </c:pt>
                <c:pt idx="6">
                  <c:v>1930</c:v>
                </c:pt>
                <c:pt idx="7">
                  <c:v>1935</c:v>
                </c:pt>
                <c:pt idx="8">
                  <c:v>1940</c:v>
                </c:pt>
                <c:pt idx="9">
                  <c:v>1945</c:v>
                </c:pt>
                <c:pt idx="10">
                  <c:v>1950</c:v>
                </c:pt>
                <c:pt idx="11">
                  <c:v>1955</c:v>
                </c:pt>
                <c:pt idx="12">
                  <c:v>1960</c:v>
                </c:pt>
              </c:numCache>
            </c:numRef>
          </c:cat>
          <c:val>
            <c:numRef>
              <c:f>Figure3!$C$2:$C$14</c:f>
              <c:numCache>
                <c:formatCode>General</c:formatCode>
                <c:ptCount val="13"/>
                <c:pt idx="0">
                  <c:v>21.532</c:v>
                </c:pt>
                <c:pt idx="1">
                  <c:v>22.077000000000002</c:v>
                </c:pt>
                <c:pt idx="2">
                  <c:v>24.042999999999999</c:v>
                </c:pt>
                <c:pt idx="3">
                  <c:v>26.492999999999999</c:v>
                </c:pt>
                <c:pt idx="4">
                  <c:v>25.2</c:v>
                </c:pt>
                <c:pt idx="5">
                  <c:v>22.082000000000001</c:v>
                </c:pt>
                <c:pt idx="6">
                  <c:v>18.885999999999999</c:v>
                </c:pt>
                <c:pt idx="7">
                  <c:v>16.675999999999998</c:v>
                </c:pt>
                <c:pt idx="8">
                  <c:v>13.932</c:v>
                </c:pt>
                <c:pt idx="9">
                  <c:v>11.629</c:v>
                </c:pt>
                <c:pt idx="10">
                  <c:v>7.6040000000000001</c:v>
                </c:pt>
                <c:pt idx="11">
                  <c:v>4.3090000000000002</c:v>
                </c:pt>
                <c:pt idx="12">
                  <c:v>3.089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7E-4A08-BC51-5EB543446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3991423"/>
        <c:axId val="1273981343"/>
      </c:lineChart>
      <c:catAx>
        <c:axId val="127399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273981343"/>
        <c:crosses val="autoZero"/>
        <c:auto val="1"/>
        <c:lblAlgn val="ctr"/>
        <c:lblOffset val="100"/>
        <c:tickLblSkip val="2"/>
        <c:noMultiLvlLbl val="0"/>
      </c:catAx>
      <c:valAx>
        <c:axId val="1273981343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Million</a:t>
                </a:r>
              </a:p>
            </c:rich>
          </c:tx>
          <c:layout>
            <c:manualLayout>
              <c:xMode val="edge"/>
              <c:yMode val="edge"/>
              <c:x val="0"/>
              <c:y val="2.756193304784293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273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240873299928422E-2"/>
          <c:y val="8.8907307639176703E-2"/>
          <c:w val="0.86068161934303666"/>
          <c:h val="0.81507545931758529"/>
        </c:manualLayout>
      </c:layout>
      <c:lineChart>
        <c:grouping val="standard"/>
        <c:varyColors val="0"/>
        <c:ser>
          <c:idx val="0"/>
          <c:order val="0"/>
          <c:tx>
            <c:v>BEA Labor Share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Figure5!$A$2:$A$91</c:f>
              <c:numCache>
                <c:formatCode>0</c:formatCode>
                <c:ptCount val="90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</c:numCache>
            </c:numRef>
          </c:cat>
          <c:val>
            <c:numRef>
              <c:f>Figure5!$B$2:$B$91</c:f>
              <c:numCache>
                <c:formatCode>0.0000</c:formatCode>
                <c:ptCount val="90"/>
                <c:pt idx="0">
                  <c:v>0.61336517333984375</c:v>
                </c:pt>
                <c:pt idx="1">
                  <c:v>0.63440865278244019</c:v>
                </c:pt>
                <c:pt idx="2">
                  <c:v>0.64160001277923584</c:v>
                </c:pt>
                <c:pt idx="3">
                  <c:v>0.65208333730697632</c:v>
                </c:pt>
                <c:pt idx="4">
                  <c:v>0.65929204225540161</c:v>
                </c:pt>
                <c:pt idx="5">
                  <c:v>0.65654647350311279</c:v>
                </c:pt>
                <c:pt idx="6">
                  <c:v>0.66490304470062256</c:v>
                </c:pt>
                <c:pt idx="7">
                  <c:v>0.65407854318618774</c:v>
                </c:pt>
                <c:pt idx="8">
                  <c:v>0.67176634073257446</c:v>
                </c:pt>
                <c:pt idx="9">
                  <c:v>0.66374266147613525</c:v>
                </c:pt>
                <c:pt idx="10">
                  <c:v>0.65675675868988037</c:v>
                </c:pt>
                <c:pt idx="11">
                  <c:v>0.64583331346511841</c:v>
                </c:pt>
                <c:pt idx="12">
                  <c:v>0.64901959896087646</c:v>
                </c:pt>
                <c:pt idx="13">
                  <c:v>0.66818529367446899</c:v>
                </c:pt>
                <c:pt idx="14">
                  <c:v>0.69098711013793945</c:v>
                </c:pt>
                <c:pt idx="15">
                  <c:v>0.68146932125091553</c:v>
                </c:pt>
                <c:pt idx="16">
                  <c:v>0.6894105076789856</c:v>
                </c:pt>
                <c:pt idx="17">
                  <c:v>0.69444441795349121</c:v>
                </c:pt>
                <c:pt idx="18">
                  <c:v>0.671059250831604</c:v>
                </c:pt>
                <c:pt idx="19">
                  <c:v>0.66805553436279297</c:v>
                </c:pt>
                <c:pt idx="20">
                  <c:v>0.6637534499168396</c:v>
                </c:pt>
                <c:pt idx="21">
                  <c:v>0.65930867195129395</c:v>
                </c:pt>
                <c:pt idx="22">
                  <c:v>0.66179615259170532</c:v>
                </c:pt>
                <c:pt idx="23">
                  <c:v>0.67483222484588623</c:v>
                </c:pt>
                <c:pt idx="24">
                  <c:v>0.67545509338378906</c:v>
                </c:pt>
                <c:pt idx="25">
                  <c:v>0.66989988088607788</c:v>
                </c:pt>
                <c:pt idx="26">
                  <c:v>0.65904545783996582</c:v>
                </c:pt>
                <c:pt idx="27">
                  <c:v>0.67360174655914307</c:v>
                </c:pt>
                <c:pt idx="28">
                  <c:v>0.67212694883346558</c:v>
                </c:pt>
                <c:pt idx="29">
                  <c:v>0.6706358790397644</c:v>
                </c:pt>
                <c:pt idx="30">
                  <c:v>0.66249418258666992</c:v>
                </c:pt>
                <c:pt idx="31">
                  <c:v>0.67194467782974243</c:v>
                </c:pt>
                <c:pt idx="32">
                  <c:v>0.66896551847457886</c:v>
                </c:pt>
                <c:pt idx="33">
                  <c:v>0.66360366344451904</c:v>
                </c:pt>
                <c:pt idx="34">
                  <c:v>0.66125684976577759</c:v>
                </c:pt>
                <c:pt idx="35">
                  <c:v>0.65872460603713989</c:v>
                </c:pt>
                <c:pt idx="36">
                  <c:v>0.65292316675186157</c:v>
                </c:pt>
                <c:pt idx="37">
                  <c:v>0.65461963415145874</c:v>
                </c:pt>
                <c:pt idx="38">
                  <c:v>0.66327095031738281</c:v>
                </c:pt>
                <c:pt idx="39">
                  <c:v>0.66792500019073486</c:v>
                </c:pt>
                <c:pt idx="40">
                  <c:v>0.67870414257049561</c:v>
                </c:pt>
                <c:pt idx="41">
                  <c:v>0.68577396869659424</c:v>
                </c:pt>
                <c:pt idx="42">
                  <c:v>0.67498981952667236</c:v>
                </c:pt>
                <c:pt idx="43">
                  <c:v>0.67544102668762207</c:v>
                </c:pt>
                <c:pt idx="44">
                  <c:v>0.67674243450164795</c:v>
                </c:pt>
                <c:pt idx="45">
                  <c:v>0.67691022157669067</c:v>
                </c:pt>
                <c:pt idx="46">
                  <c:v>0.65965592861175537</c:v>
                </c:pt>
                <c:pt idx="47">
                  <c:v>0.65473735332489014</c:v>
                </c:pt>
                <c:pt idx="48">
                  <c:v>0.65321898460388184</c:v>
                </c:pt>
                <c:pt idx="49">
                  <c:v>0.65072143077850342</c:v>
                </c:pt>
                <c:pt idx="50">
                  <c:v>0.64894783496856689</c:v>
                </c:pt>
                <c:pt idx="51">
                  <c:v>0.65012824535369873</c:v>
                </c:pt>
                <c:pt idx="52">
                  <c:v>0.63944774866104126</c:v>
                </c:pt>
                <c:pt idx="53">
                  <c:v>0.64241355657577515</c:v>
                </c:pt>
                <c:pt idx="54">
                  <c:v>0.6277880072593689</c:v>
                </c:pt>
                <c:pt idx="55">
                  <c:v>0.62583667039871216</c:v>
                </c:pt>
                <c:pt idx="56">
                  <c:v>0.62639063596725464</c:v>
                </c:pt>
                <c:pt idx="57">
                  <c:v>0.63164037466049194</c:v>
                </c:pt>
                <c:pt idx="58">
                  <c:v>0.64033865928649902</c:v>
                </c:pt>
                <c:pt idx="59">
                  <c:v>0.64565587043762207</c:v>
                </c:pt>
                <c:pt idx="60">
                  <c:v>0.63696491718292236</c:v>
                </c:pt>
                <c:pt idx="61">
                  <c:v>0.64091789722442627</c:v>
                </c:pt>
                <c:pt idx="62">
                  <c:v>0.64203709363937378</c:v>
                </c:pt>
                <c:pt idx="63">
                  <c:v>0.64731419086456299</c:v>
                </c:pt>
                <c:pt idx="64">
                  <c:v>0.64003551006317139</c:v>
                </c:pt>
                <c:pt idx="65">
                  <c:v>0.63410305976867676</c:v>
                </c:pt>
                <c:pt idx="66">
                  <c:v>0.63268226385116577</c:v>
                </c:pt>
                <c:pt idx="67">
                  <c:v>0.63245844841003418</c:v>
                </c:pt>
                <c:pt idx="68">
                  <c:v>0.63496863842010498</c:v>
                </c:pt>
                <c:pt idx="69">
                  <c:v>0.64851975440979004</c:v>
                </c:pt>
                <c:pt idx="70">
                  <c:v>0.65047734975814819</c:v>
                </c:pt>
                <c:pt idx="71">
                  <c:v>0.66187924146652222</c:v>
                </c:pt>
                <c:pt idx="72">
                  <c:v>0.66496729850769043</c:v>
                </c:pt>
                <c:pt idx="73">
                  <c:v>0.65635424852371216</c:v>
                </c:pt>
                <c:pt idx="74">
                  <c:v>0.648060142993927</c:v>
                </c:pt>
                <c:pt idx="75">
                  <c:v>0.64430487155914307</c:v>
                </c:pt>
                <c:pt idx="76">
                  <c:v>0.63223916292190552</c:v>
                </c:pt>
                <c:pt idx="77">
                  <c:v>0.63284403085708618</c:v>
                </c:pt>
                <c:pt idx="78">
                  <c:v>0.63153970241546631</c:v>
                </c:pt>
                <c:pt idx="79">
                  <c:v>0.63168376684188843</c:v>
                </c:pt>
                <c:pt idx="80">
                  <c:v>0.61860638856887817</c:v>
                </c:pt>
                <c:pt idx="81">
                  <c:v>0.61547362804412842</c:v>
                </c:pt>
                <c:pt idx="82">
                  <c:v>0.61990565061569214</c:v>
                </c:pt>
                <c:pt idx="83">
                  <c:v>0.6220555305480957</c:v>
                </c:pt>
                <c:pt idx="84">
                  <c:v>0.61984378099441528</c:v>
                </c:pt>
                <c:pt idx="85">
                  <c:v>0.62087410688400269</c:v>
                </c:pt>
                <c:pt idx="86">
                  <c:v>0.62236565351486206</c:v>
                </c:pt>
                <c:pt idx="87">
                  <c:v>0.62095469236373901</c:v>
                </c:pt>
                <c:pt idx="88">
                  <c:v>0.62353122234344482</c:v>
                </c:pt>
                <c:pt idx="89">
                  <c:v>0.62044399976730347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A2-4CC0-B7CA-652D6272298B}"/>
            </c:ext>
          </c:extLst>
        </c:ser>
        <c:ser>
          <c:idx val="1"/>
          <c:order val="1"/>
          <c:tx>
            <c:v>BEA Labor Share (Pre-1999 Methods)</c:v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Figure5!$A$2:$A$91</c:f>
              <c:numCache>
                <c:formatCode>0</c:formatCode>
                <c:ptCount val="90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</c:numCache>
            </c:numRef>
          </c:cat>
          <c:val>
            <c:numRef>
              <c:f>Figure5!$C$2:$C$91</c:f>
              <c:numCache>
                <c:formatCode>0.0000</c:formatCode>
                <c:ptCount val="90"/>
                <c:pt idx="0">
                  <c:v>0.61778849363327026</c:v>
                </c:pt>
                <c:pt idx="1">
                  <c:v>0.63956642150878906</c:v>
                </c:pt>
                <c:pt idx="2">
                  <c:v>0.64677417278289795</c:v>
                </c:pt>
                <c:pt idx="3">
                  <c:v>0.65894734859466553</c:v>
                </c:pt>
                <c:pt idx="4">
                  <c:v>0.66666662693023682</c:v>
                </c:pt>
                <c:pt idx="5">
                  <c:v>0.66410744190216064</c:v>
                </c:pt>
                <c:pt idx="6">
                  <c:v>0.67201429605484009</c:v>
                </c:pt>
                <c:pt idx="7">
                  <c:v>0.66106867790222168</c:v>
                </c:pt>
                <c:pt idx="8">
                  <c:v>0.67932486534118652</c:v>
                </c:pt>
                <c:pt idx="9">
                  <c:v>0.67259258031845093</c:v>
                </c:pt>
                <c:pt idx="10">
                  <c:v>0.66484266519546509</c:v>
                </c:pt>
                <c:pt idx="11">
                  <c:v>0.6538461446762085</c:v>
                </c:pt>
                <c:pt idx="12">
                  <c:v>0.6567460298538208</c:v>
                </c:pt>
                <c:pt idx="13">
                  <c:v>0.67536455392837524</c:v>
                </c:pt>
                <c:pt idx="14">
                  <c:v>0.69740098714828491</c:v>
                </c:pt>
                <c:pt idx="15">
                  <c:v>0.6875</c:v>
                </c:pt>
                <c:pt idx="16">
                  <c:v>0.69701987504959106</c:v>
                </c:pt>
                <c:pt idx="17">
                  <c:v>0.70442783832550049</c:v>
                </c:pt>
                <c:pt idx="18">
                  <c:v>0.68212258815765381</c:v>
                </c:pt>
                <c:pt idx="19">
                  <c:v>0.67778301239013672</c:v>
                </c:pt>
                <c:pt idx="20">
                  <c:v>0.6739841103553772</c:v>
                </c:pt>
                <c:pt idx="21">
                  <c:v>0.66934466361999512</c:v>
                </c:pt>
                <c:pt idx="22">
                  <c:v>0.67112398147583008</c:v>
                </c:pt>
                <c:pt idx="23">
                  <c:v>0.68564611673355103</c:v>
                </c:pt>
                <c:pt idx="24">
                  <c:v>0.6873202919960022</c:v>
                </c:pt>
                <c:pt idx="25">
                  <c:v>0.6824992299079895</c:v>
                </c:pt>
                <c:pt idx="26">
                  <c:v>0.67171567678451538</c:v>
                </c:pt>
                <c:pt idx="27">
                  <c:v>0.6884838342666626</c:v>
                </c:pt>
                <c:pt idx="28">
                  <c:v>0.68779468536376953</c:v>
                </c:pt>
                <c:pt idx="29">
                  <c:v>0.68771106004714966</c:v>
                </c:pt>
                <c:pt idx="30">
                  <c:v>0.67966705560684204</c:v>
                </c:pt>
                <c:pt idx="31">
                  <c:v>0.69026339054107666</c:v>
                </c:pt>
                <c:pt idx="32">
                  <c:v>0.68885928392410278</c:v>
                </c:pt>
                <c:pt idx="33">
                  <c:v>0.68325787782669067</c:v>
                </c:pt>
                <c:pt idx="34">
                  <c:v>0.68157947063446045</c:v>
                </c:pt>
                <c:pt idx="35">
                  <c:v>0.67894548177719116</c:v>
                </c:pt>
                <c:pt idx="36">
                  <c:v>0.67353379726409912</c:v>
                </c:pt>
                <c:pt idx="37">
                  <c:v>0.67559027671813965</c:v>
                </c:pt>
                <c:pt idx="38">
                  <c:v>0.68525105714797974</c:v>
                </c:pt>
                <c:pt idx="39">
                  <c:v>0.69051647186279297</c:v>
                </c:pt>
                <c:pt idx="40">
                  <c:v>0.70210212469100952</c:v>
                </c:pt>
                <c:pt idx="41">
                  <c:v>0.70982801914215088</c:v>
                </c:pt>
                <c:pt idx="42">
                  <c:v>0.69823598861694336</c:v>
                </c:pt>
                <c:pt idx="43">
                  <c:v>0.69853854179382324</c:v>
                </c:pt>
                <c:pt idx="44">
                  <c:v>0.69957816600799561</c:v>
                </c:pt>
                <c:pt idx="45">
                  <c:v>0.70046555995941162</c:v>
                </c:pt>
                <c:pt idx="46">
                  <c:v>0.6825682520866394</c:v>
                </c:pt>
                <c:pt idx="47">
                  <c:v>0.67759031057357788</c:v>
                </c:pt>
                <c:pt idx="48">
                  <c:v>0.67563021183013916</c:v>
                </c:pt>
                <c:pt idx="49">
                  <c:v>0.6725572943687439</c:v>
                </c:pt>
                <c:pt idx="50">
                  <c:v>0.67142403125762939</c:v>
                </c:pt>
                <c:pt idx="51">
                  <c:v>0.67341941595077515</c:v>
                </c:pt>
                <c:pt idx="52">
                  <c:v>0.66334837675094604</c:v>
                </c:pt>
                <c:pt idx="53">
                  <c:v>0.66810190677642822</c:v>
                </c:pt>
                <c:pt idx="54">
                  <c:v>0.65345150232315063</c:v>
                </c:pt>
                <c:pt idx="55">
                  <c:v>0.65246450901031494</c:v>
                </c:pt>
                <c:pt idx="56">
                  <c:v>0.65369659662246704</c:v>
                </c:pt>
                <c:pt idx="57">
                  <c:v>0.65973734855651855</c:v>
                </c:pt>
                <c:pt idx="58">
                  <c:v>0.66915738582611084</c:v>
                </c:pt>
                <c:pt idx="59">
                  <c:v>0.67548060417175293</c:v>
                </c:pt>
                <c:pt idx="60">
                  <c:v>0.66734683513641357</c:v>
                </c:pt>
                <c:pt idx="61">
                  <c:v>0.67231559753417969</c:v>
                </c:pt>
                <c:pt idx="62">
                  <c:v>0.67499363422393799</c:v>
                </c:pt>
                <c:pt idx="63">
                  <c:v>0.68010234832763672</c:v>
                </c:pt>
                <c:pt idx="64">
                  <c:v>0.67214268445968628</c:v>
                </c:pt>
                <c:pt idx="65">
                  <c:v>0.66520547866821289</c:v>
                </c:pt>
                <c:pt idx="66">
                  <c:v>0.66474014520645142</c:v>
                </c:pt>
                <c:pt idx="67">
                  <c:v>0.66549646854400635</c:v>
                </c:pt>
                <c:pt idx="68">
                  <c:v>0.66956746578216553</c:v>
                </c:pt>
                <c:pt idx="69">
                  <c:v>0.68482106924057007</c:v>
                </c:pt>
                <c:pt idx="70">
                  <c:v>0.6890447735786438</c:v>
                </c:pt>
                <c:pt idx="71">
                  <c:v>0.70292198657989502</c:v>
                </c:pt>
                <c:pt idx="72">
                  <c:v>0.70552706718444824</c:v>
                </c:pt>
                <c:pt idx="73">
                  <c:v>0.69463026523590088</c:v>
                </c:pt>
                <c:pt idx="74">
                  <c:v>0.68518155813217163</c:v>
                </c:pt>
                <c:pt idx="75">
                  <c:v>0.68060606718063354</c:v>
                </c:pt>
                <c:pt idx="76">
                  <c:v>0.66801536083221436</c:v>
                </c:pt>
                <c:pt idx="77">
                  <c:v>0.66899508237838745</c:v>
                </c:pt>
                <c:pt idx="78">
                  <c:v>0.66822433471679688</c:v>
                </c:pt>
                <c:pt idx="79">
                  <c:v>0.66956979036331177</c:v>
                </c:pt>
                <c:pt idx="80">
                  <c:v>0.65598785877227783</c:v>
                </c:pt>
                <c:pt idx="81">
                  <c:v>0.65271180868148804</c:v>
                </c:pt>
                <c:pt idx="82">
                  <c:v>0.65891546010971069</c:v>
                </c:pt>
                <c:pt idx="83">
                  <c:v>0.6615978479385376</c:v>
                </c:pt>
                <c:pt idx="84">
                  <c:v>0.65986943244934082</c:v>
                </c:pt>
                <c:pt idx="85">
                  <c:v>0.66122144460678101</c:v>
                </c:pt>
                <c:pt idx="86">
                  <c:v>0.66252678632736206</c:v>
                </c:pt>
                <c:pt idx="87">
                  <c:v>0.66201192140579224</c:v>
                </c:pt>
                <c:pt idx="88">
                  <c:v>0.66504424810409546</c:v>
                </c:pt>
                <c:pt idx="89">
                  <c:v>0.66285562515258789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A2-4CC0-B7CA-652D6272298B}"/>
            </c:ext>
          </c:extLst>
        </c:ser>
        <c:ser>
          <c:idx val="2"/>
          <c:order val="2"/>
          <c:tx>
            <c:v>Trend</c:v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Figure5!$A$2:$A$91</c:f>
              <c:numCache>
                <c:formatCode>0</c:formatCode>
                <c:ptCount val="90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</c:numCache>
            </c:numRef>
          </c:cat>
          <c:val>
            <c:numRef>
              <c:f>Figure5!$D$2:$D$91</c:f>
              <c:numCache>
                <c:formatCode>0.0000</c:formatCode>
                <c:ptCount val="90"/>
                <c:pt idx="0">
                  <c:v>0.67244315147399902</c:v>
                </c:pt>
                <c:pt idx="1">
                  <c:v>0.67197555303573608</c:v>
                </c:pt>
                <c:pt idx="2">
                  <c:v>0.67150795459747314</c:v>
                </c:pt>
                <c:pt idx="3">
                  <c:v>0.67104029655456543</c:v>
                </c:pt>
                <c:pt idx="4">
                  <c:v>0.67057269811630249</c:v>
                </c:pt>
                <c:pt idx="5">
                  <c:v>0.67010509967803955</c:v>
                </c:pt>
                <c:pt idx="6">
                  <c:v>0.66963744163513184</c:v>
                </c:pt>
                <c:pt idx="7">
                  <c:v>0.6691698431968689</c:v>
                </c:pt>
                <c:pt idx="8">
                  <c:v>0.66870224475860596</c:v>
                </c:pt>
                <c:pt idx="9">
                  <c:v>0.66823464632034302</c:v>
                </c:pt>
                <c:pt idx="10">
                  <c:v>0.6677669882774353</c:v>
                </c:pt>
                <c:pt idx="11">
                  <c:v>0.66729938983917236</c:v>
                </c:pt>
                <c:pt idx="12">
                  <c:v>0.66683179140090942</c:v>
                </c:pt>
                <c:pt idx="13">
                  <c:v>0.66636413335800171</c:v>
                </c:pt>
                <c:pt idx="14">
                  <c:v>0.66589653491973877</c:v>
                </c:pt>
                <c:pt idx="15">
                  <c:v>0.66542893648147583</c:v>
                </c:pt>
                <c:pt idx="16">
                  <c:v>0.66496127843856812</c:v>
                </c:pt>
                <c:pt idx="17">
                  <c:v>0.66449368000030518</c:v>
                </c:pt>
                <c:pt idx="18">
                  <c:v>0.66402608156204224</c:v>
                </c:pt>
                <c:pt idx="19">
                  <c:v>0.66355842351913452</c:v>
                </c:pt>
                <c:pt idx="20">
                  <c:v>0.66309082508087158</c:v>
                </c:pt>
                <c:pt idx="21">
                  <c:v>0.66262322664260864</c:v>
                </c:pt>
                <c:pt idx="22">
                  <c:v>0.6621556282043457</c:v>
                </c:pt>
                <c:pt idx="23">
                  <c:v>0.66168797016143799</c:v>
                </c:pt>
                <c:pt idx="24">
                  <c:v>0.66122037172317505</c:v>
                </c:pt>
                <c:pt idx="25">
                  <c:v>0.66075277328491211</c:v>
                </c:pt>
                <c:pt idx="26">
                  <c:v>0.66028511524200439</c:v>
                </c:pt>
                <c:pt idx="27">
                  <c:v>0.65981751680374146</c:v>
                </c:pt>
                <c:pt idx="28">
                  <c:v>0.65934991836547852</c:v>
                </c:pt>
                <c:pt idx="29">
                  <c:v>0.6588822603225708</c:v>
                </c:pt>
                <c:pt idx="30">
                  <c:v>0.65841466188430786</c:v>
                </c:pt>
                <c:pt idx="31">
                  <c:v>0.65794706344604492</c:v>
                </c:pt>
                <c:pt idx="32">
                  <c:v>0.65747940540313721</c:v>
                </c:pt>
                <c:pt idx="33">
                  <c:v>0.65701180696487427</c:v>
                </c:pt>
                <c:pt idx="34">
                  <c:v>0.65654420852661133</c:v>
                </c:pt>
                <c:pt idx="35">
                  <c:v>0.65607661008834839</c:v>
                </c:pt>
                <c:pt idx="36">
                  <c:v>0.65560895204544067</c:v>
                </c:pt>
                <c:pt idx="37">
                  <c:v>0.65514135360717773</c:v>
                </c:pt>
                <c:pt idx="38">
                  <c:v>0.65467375516891479</c:v>
                </c:pt>
                <c:pt idx="39">
                  <c:v>0.65420609712600708</c:v>
                </c:pt>
                <c:pt idx="40">
                  <c:v>0.65373849868774414</c:v>
                </c:pt>
                <c:pt idx="41">
                  <c:v>0.6532709002494812</c:v>
                </c:pt>
                <c:pt idx="42">
                  <c:v>0.65280324220657349</c:v>
                </c:pt>
                <c:pt idx="43">
                  <c:v>0.65233564376831055</c:v>
                </c:pt>
                <c:pt idx="44">
                  <c:v>0.65186804533004761</c:v>
                </c:pt>
                <c:pt idx="45">
                  <c:v>0.65140044689178467</c:v>
                </c:pt>
                <c:pt idx="46">
                  <c:v>0.65093278884887695</c:v>
                </c:pt>
                <c:pt idx="47">
                  <c:v>0.65046519041061401</c:v>
                </c:pt>
                <c:pt idx="48">
                  <c:v>0.64999759197235107</c:v>
                </c:pt>
                <c:pt idx="49">
                  <c:v>0.64952993392944336</c:v>
                </c:pt>
                <c:pt idx="50">
                  <c:v>0.64906233549118042</c:v>
                </c:pt>
                <c:pt idx="51">
                  <c:v>0.64859473705291748</c:v>
                </c:pt>
                <c:pt idx="52">
                  <c:v>0.64812707901000977</c:v>
                </c:pt>
                <c:pt idx="53">
                  <c:v>0.64765948057174683</c:v>
                </c:pt>
                <c:pt idx="54">
                  <c:v>0.64719188213348389</c:v>
                </c:pt>
                <c:pt idx="55">
                  <c:v>0.64672422409057617</c:v>
                </c:pt>
                <c:pt idx="56">
                  <c:v>0.64625662565231323</c:v>
                </c:pt>
                <c:pt idx="57">
                  <c:v>0.64578902721405029</c:v>
                </c:pt>
                <c:pt idx="58">
                  <c:v>0.64532142877578735</c:v>
                </c:pt>
                <c:pt idx="59">
                  <c:v>0.64485377073287964</c:v>
                </c:pt>
                <c:pt idx="60">
                  <c:v>0.6443861722946167</c:v>
                </c:pt>
                <c:pt idx="61">
                  <c:v>0.64391857385635376</c:v>
                </c:pt>
                <c:pt idx="62">
                  <c:v>0.64345091581344604</c:v>
                </c:pt>
                <c:pt idx="63">
                  <c:v>0.64298331737518311</c:v>
                </c:pt>
                <c:pt idx="64">
                  <c:v>0.64251571893692017</c:v>
                </c:pt>
                <c:pt idx="65">
                  <c:v>0.64204806089401245</c:v>
                </c:pt>
                <c:pt idx="66">
                  <c:v>0.64158046245574951</c:v>
                </c:pt>
                <c:pt idx="67">
                  <c:v>0.64111286401748657</c:v>
                </c:pt>
                <c:pt idx="68">
                  <c:v>0.64064520597457886</c:v>
                </c:pt>
                <c:pt idx="69">
                  <c:v>0.64017760753631592</c:v>
                </c:pt>
                <c:pt idx="70">
                  <c:v>0.63971000909805298</c:v>
                </c:pt>
                <c:pt idx="71">
                  <c:v>0.63924241065979004</c:v>
                </c:pt>
                <c:pt idx="72">
                  <c:v>0.63877475261688232</c:v>
                </c:pt>
                <c:pt idx="73">
                  <c:v>0.63830715417861938</c:v>
                </c:pt>
                <c:pt idx="74">
                  <c:v>0.63783955574035645</c:v>
                </c:pt>
                <c:pt idx="75">
                  <c:v>0.63737189769744873</c:v>
                </c:pt>
                <c:pt idx="76">
                  <c:v>0.63690429925918579</c:v>
                </c:pt>
                <c:pt idx="77">
                  <c:v>0.63643670082092285</c:v>
                </c:pt>
                <c:pt idx="78">
                  <c:v>0.63596904277801514</c:v>
                </c:pt>
                <c:pt idx="79">
                  <c:v>0.6355014443397522</c:v>
                </c:pt>
                <c:pt idx="80">
                  <c:v>0.63503384590148926</c:v>
                </c:pt>
                <c:pt idx="81">
                  <c:v>0.63456618785858154</c:v>
                </c:pt>
                <c:pt idx="82">
                  <c:v>0.6340985894203186</c:v>
                </c:pt>
                <c:pt idx="83">
                  <c:v>0.63363099098205566</c:v>
                </c:pt>
                <c:pt idx="84">
                  <c:v>0.63316339254379272</c:v>
                </c:pt>
                <c:pt idx="85">
                  <c:v>0.63269573450088501</c:v>
                </c:pt>
                <c:pt idx="86">
                  <c:v>0.63222813606262207</c:v>
                </c:pt>
                <c:pt idx="87">
                  <c:v>0.63176053762435913</c:v>
                </c:pt>
                <c:pt idx="88">
                  <c:v>0.63129287958145142</c:v>
                </c:pt>
                <c:pt idx="89">
                  <c:v>0.63082528114318848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A2-4CC0-B7CA-652D6272298B}"/>
            </c:ext>
          </c:extLst>
        </c:ser>
        <c:ser>
          <c:idx val="3"/>
          <c:order val="3"/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Figure5!$A$2:$A$91</c:f>
              <c:numCache>
                <c:formatCode>0</c:formatCode>
                <c:ptCount val="90"/>
                <c:pt idx="0">
                  <c:v>1929</c:v>
                </c:pt>
                <c:pt idx="1">
                  <c:v>1930</c:v>
                </c:pt>
                <c:pt idx="2">
                  <c:v>1931</c:v>
                </c:pt>
                <c:pt idx="3">
                  <c:v>1932</c:v>
                </c:pt>
                <c:pt idx="4">
                  <c:v>1933</c:v>
                </c:pt>
                <c:pt idx="5">
                  <c:v>1934</c:v>
                </c:pt>
                <c:pt idx="6">
                  <c:v>1935</c:v>
                </c:pt>
                <c:pt idx="7">
                  <c:v>1936</c:v>
                </c:pt>
                <c:pt idx="8">
                  <c:v>1937</c:v>
                </c:pt>
                <c:pt idx="9">
                  <c:v>1938</c:v>
                </c:pt>
                <c:pt idx="10">
                  <c:v>1939</c:v>
                </c:pt>
                <c:pt idx="11">
                  <c:v>1940</c:v>
                </c:pt>
                <c:pt idx="12">
                  <c:v>1941</c:v>
                </c:pt>
                <c:pt idx="13">
                  <c:v>1942</c:v>
                </c:pt>
                <c:pt idx="14">
                  <c:v>1943</c:v>
                </c:pt>
                <c:pt idx="15">
                  <c:v>1944</c:v>
                </c:pt>
                <c:pt idx="16">
                  <c:v>1945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1959</c:v>
                </c:pt>
                <c:pt idx="31">
                  <c:v>1960</c:v>
                </c:pt>
                <c:pt idx="32">
                  <c:v>1961</c:v>
                </c:pt>
                <c:pt idx="33">
                  <c:v>1962</c:v>
                </c:pt>
                <c:pt idx="34">
                  <c:v>1963</c:v>
                </c:pt>
                <c:pt idx="35">
                  <c:v>1964</c:v>
                </c:pt>
                <c:pt idx="36">
                  <c:v>1965</c:v>
                </c:pt>
                <c:pt idx="37">
                  <c:v>1966</c:v>
                </c:pt>
                <c:pt idx="38">
                  <c:v>1967</c:v>
                </c:pt>
                <c:pt idx="39">
                  <c:v>1968</c:v>
                </c:pt>
                <c:pt idx="40">
                  <c:v>1969</c:v>
                </c:pt>
                <c:pt idx="41">
                  <c:v>1970</c:v>
                </c:pt>
                <c:pt idx="42">
                  <c:v>1971</c:v>
                </c:pt>
                <c:pt idx="43">
                  <c:v>1972</c:v>
                </c:pt>
                <c:pt idx="44">
                  <c:v>1973</c:v>
                </c:pt>
                <c:pt idx="45">
                  <c:v>1974</c:v>
                </c:pt>
                <c:pt idx="46">
                  <c:v>1975</c:v>
                </c:pt>
                <c:pt idx="47">
                  <c:v>1976</c:v>
                </c:pt>
                <c:pt idx="48">
                  <c:v>1977</c:v>
                </c:pt>
                <c:pt idx="49">
                  <c:v>1978</c:v>
                </c:pt>
                <c:pt idx="50">
                  <c:v>1979</c:v>
                </c:pt>
                <c:pt idx="51">
                  <c:v>1980</c:v>
                </c:pt>
                <c:pt idx="52">
                  <c:v>1981</c:v>
                </c:pt>
                <c:pt idx="53">
                  <c:v>1982</c:v>
                </c:pt>
                <c:pt idx="54">
                  <c:v>1983</c:v>
                </c:pt>
                <c:pt idx="55">
                  <c:v>1984</c:v>
                </c:pt>
                <c:pt idx="56">
                  <c:v>1985</c:v>
                </c:pt>
                <c:pt idx="57">
                  <c:v>1986</c:v>
                </c:pt>
                <c:pt idx="58">
                  <c:v>1987</c:v>
                </c:pt>
                <c:pt idx="59">
                  <c:v>1988</c:v>
                </c:pt>
                <c:pt idx="60">
                  <c:v>1989</c:v>
                </c:pt>
                <c:pt idx="61">
                  <c:v>1990</c:v>
                </c:pt>
                <c:pt idx="62">
                  <c:v>1991</c:v>
                </c:pt>
                <c:pt idx="63">
                  <c:v>1992</c:v>
                </c:pt>
                <c:pt idx="64">
                  <c:v>1993</c:v>
                </c:pt>
                <c:pt idx="65">
                  <c:v>1994</c:v>
                </c:pt>
                <c:pt idx="66">
                  <c:v>1995</c:v>
                </c:pt>
                <c:pt idx="67">
                  <c:v>1996</c:v>
                </c:pt>
                <c:pt idx="68">
                  <c:v>1997</c:v>
                </c:pt>
                <c:pt idx="69">
                  <c:v>1998</c:v>
                </c:pt>
                <c:pt idx="70">
                  <c:v>1999</c:v>
                </c:pt>
                <c:pt idx="71">
                  <c:v>2000</c:v>
                </c:pt>
                <c:pt idx="72">
                  <c:v>2001</c:v>
                </c:pt>
                <c:pt idx="73">
                  <c:v>2002</c:v>
                </c:pt>
                <c:pt idx="74">
                  <c:v>2003</c:v>
                </c:pt>
                <c:pt idx="75">
                  <c:v>2004</c:v>
                </c:pt>
                <c:pt idx="76">
                  <c:v>2005</c:v>
                </c:pt>
                <c:pt idx="77">
                  <c:v>2006</c:v>
                </c:pt>
                <c:pt idx="78">
                  <c:v>2007</c:v>
                </c:pt>
                <c:pt idx="79">
                  <c:v>2008</c:v>
                </c:pt>
                <c:pt idx="80">
                  <c:v>2009</c:v>
                </c:pt>
                <c:pt idx="81">
                  <c:v>2010</c:v>
                </c:pt>
                <c:pt idx="82">
                  <c:v>2011</c:v>
                </c:pt>
                <c:pt idx="83">
                  <c:v>2012</c:v>
                </c:pt>
                <c:pt idx="84">
                  <c:v>2013</c:v>
                </c:pt>
                <c:pt idx="85">
                  <c:v>2014</c:v>
                </c:pt>
                <c:pt idx="86">
                  <c:v>2015</c:v>
                </c:pt>
                <c:pt idx="87">
                  <c:v>2016</c:v>
                </c:pt>
                <c:pt idx="88">
                  <c:v>2017</c:v>
                </c:pt>
                <c:pt idx="89">
                  <c:v>2018</c:v>
                </c:pt>
              </c:numCache>
            </c:numRef>
          </c:cat>
          <c:val>
            <c:numRef>
              <c:f>Figure5!$E$2:$E$91</c:f>
              <c:numCache>
                <c:formatCode>0.0000</c:formatCode>
                <c:ptCount val="90"/>
                <c:pt idx="0">
                  <c:v>0.67563766241073608</c:v>
                </c:pt>
                <c:pt idx="1">
                  <c:v>0.67561548948287964</c:v>
                </c:pt>
                <c:pt idx="2">
                  <c:v>0.67559331655502319</c:v>
                </c:pt>
                <c:pt idx="3">
                  <c:v>0.67557114362716675</c:v>
                </c:pt>
                <c:pt idx="4">
                  <c:v>0.67554891109466553</c:v>
                </c:pt>
                <c:pt idx="5">
                  <c:v>0.67552673816680908</c:v>
                </c:pt>
                <c:pt idx="6">
                  <c:v>0.67550456523895264</c:v>
                </c:pt>
                <c:pt idx="7">
                  <c:v>0.67548239231109619</c:v>
                </c:pt>
                <c:pt idx="8">
                  <c:v>0.67546021938323975</c:v>
                </c:pt>
                <c:pt idx="9">
                  <c:v>0.6754380464553833</c:v>
                </c:pt>
                <c:pt idx="10">
                  <c:v>0.67541587352752686</c:v>
                </c:pt>
                <c:pt idx="11">
                  <c:v>0.67539370059967041</c:v>
                </c:pt>
                <c:pt idx="12">
                  <c:v>0.67537152767181396</c:v>
                </c:pt>
                <c:pt idx="13">
                  <c:v>0.67534929513931274</c:v>
                </c:pt>
                <c:pt idx="14">
                  <c:v>0.6753271222114563</c:v>
                </c:pt>
                <c:pt idx="15">
                  <c:v>0.67530494928359985</c:v>
                </c:pt>
                <c:pt idx="16">
                  <c:v>0.67528277635574341</c:v>
                </c:pt>
                <c:pt idx="17">
                  <c:v>0.67526060342788696</c:v>
                </c:pt>
                <c:pt idx="18">
                  <c:v>0.67523843050003052</c:v>
                </c:pt>
                <c:pt idx="19">
                  <c:v>0.67521625757217407</c:v>
                </c:pt>
                <c:pt idx="20">
                  <c:v>0.67519408464431763</c:v>
                </c:pt>
                <c:pt idx="21">
                  <c:v>0.67517185211181641</c:v>
                </c:pt>
                <c:pt idx="22">
                  <c:v>0.67514967918395996</c:v>
                </c:pt>
                <c:pt idx="23">
                  <c:v>0.67512750625610352</c:v>
                </c:pt>
                <c:pt idx="24">
                  <c:v>0.67510533332824707</c:v>
                </c:pt>
                <c:pt idx="25">
                  <c:v>0.67508316040039063</c:v>
                </c:pt>
                <c:pt idx="26">
                  <c:v>0.67506098747253418</c:v>
                </c:pt>
                <c:pt idx="27">
                  <c:v>0.67503881454467773</c:v>
                </c:pt>
                <c:pt idx="28">
                  <c:v>0.67501664161682129</c:v>
                </c:pt>
                <c:pt idx="29">
                  <c:v>0.67499446868896484</c:v>
                </c:pt>
                <c:pt idx="30">
                  <c:v>0.67497223615646362</c:v>
                </c:pt>
                <c:pt idx="31">
                  <c:v>0.67495006322860718</c:v>
                </c:pt>
                <c:pt idx="32">
                  <c:v>0.67492789030075073</c:v>
                </c:pt>
                <c:pt idx="33">
                  <c:v>0.67490571737289429</c:v>
                </c:pt>
                <c:pt idx="34">
                  <c:v>0.67488354444503784</c:v>
                </c:pt>
                <c:pt idx="35">
                  <c:v>0.6748613715171814</c:v>
                </c:pt>
                <c:pt idx="36">
                  <c:v>0.67483919858932495</c:v>
                </c:pt>
                <c:pt idx="37">
                  <c:v>0.67481702566146851</c:v>
                </c:pt>
                <c:pt idx="38">
                  <c:v>0.67479485273361206</c:v>
                </c:pt>
                <c:pt idx="39">
                  <c:v>0.67477262020111084</c:v>
                </c:pt>
                <c:pt idx="40">
                  <c:v>0.67475044727325439</c:v>
                </c:pt>
                <c:pt idx="41">
                  <c:v>0.67472827434539795</c:v>
                </c:pt>
                <c:pt idx="42">
                  <c:v>0.6747061014175415</c:v>
                </c:pt>
                <c:pt idx="43">
                  <c:v>0.67468392848968506</c:v>
                </c:pt>
                <c:pt idx="44">
                  <c:v>0.67466175556182861</c:v>
                </c:pt>
                <c:pt idx="45">
                  <c:v>0.67463958263397217</c:v>
                </c:pt>
                <c:pt idx="46">
                  <c:v>0.67461740970611572</c:v>
                </c:pt>
                <c:pt idx="47">
                  <c:v>0.6745951771736145</c:v>
                </c:pt>
                <c:pt idx="48">
                  <c:v>0.67457300424575806</c:v>
                </c:pt>
                <c:pt idx="49">
                  <c:v>0.67455083131790161</c:v>
                </c:pt>
                <c:pt idx="50">
                  <c:v>0.67452865839004517</c:v>
                </c:pt>
                <c:pt idx="51">
                  <c:v>0.67450648546218872</c:v>
                </c:pt>
                <c:pt idx="52">
                  <c:v>0.67448431253433228</c:v>
                </c:pt>
                <c:pt idx="53">
                  <c:v>0.67446213960647583</c:v>
                </c:pt>
                <c:pt idx="54">
                  <c:v>0.67443996667861938</c:v>
                </c:pt>
                <c:pt idx="55">
                  <c:v>0.67441779375076294</c:v>
                </c:pt>
                <c:pt idx="56">
                  <c:v>0.67439556121826172</c:v>
                </c:pt>
                <c:pt idx="57">
                  <c:v>0.67437338829040527</c:v>
                </c:pt>
                <c:pt idx="58">
                  <c:v>0.67435121536254883</c:v>
                </c:pt>
                <c:pt idx="59">
                  <c:v>0.67432904243469238</c:v>
                </c:pt>
                <c:pt idx="60">
                  <c:v>0.67430686950683594</c:v>
                </c:pt>
                <c:pt idx="61">
                  <c:v>0.67428469657897949</c:v>
                </c:pt>
                <c:pt idx="62">
                  <c:v>0.67426252365112305</c:v>
                </c:pt>
                <c:pt idx="63">
                  <c:v>0.6742403507232666</c:v>
                </c:pt>
                <c:pt idx="64">
                  <c:v>0.67421817779541016</c:v>
                </c:pt>
                <c:pt idx="65">
                  <c:v>0.67419594526290894</c:v>
                </c:pt>
                <c:pt idx="66">
                  <c:v>0.67417377233505249</c:v>
                </c:pt>
                <c:pt idx="67">
                  <c:v>0.67415159940719604</c:v>
                </c:pt>
                <c:pt idx="68">
                  <c:v>0.6741294264793396</c:v>
                </c:pt>
                <c:pt idx="69">
                  <c:v>0.67410725355148315</c:v>
                </c:pt>
                <c:pt idx="70">
                  <c:v>0.67408508062362671</c:v>
                </c:pt>
                <c:pt idx="71">
                  <c:v>0.67406290769577026</c:v>
                </c:pt>
                <c:pt idx="72">
                  <c:v>0.67404073476791382</c:v>
                </c:pt>
                <c:pt idx="73">
                  <c:v>0.6740185022354126</c:v>
                </c:pt>
                <c:pt idx="74">
                  <c:v>0.67399632930755615</c:v>
                </c:pt>
                <c:pt idx="75">
                  <c:v>0.67397415637969971</c:v>
                </c:pt>
                <c:pt idx="76">
                  <c:v>0.67395198345184326</c:v>
                </c:pt>
                <c:pt idx="77">
                  <c:v>0.67392981052398682</c:v>
                </c:pt>
                <c:pt idx="78">
                  <c:v>0.67390763759613037</c:v>
                </c:pt>
                <c:pt idx="79">
                  <c:v>0.67388546466827393</c:v>
                </c:pt>
                <c:pt idx="80">
                  <c:v>0.67386329174041748</c:v>
                </c:pt>
                <c:pt idx="81">
                  <c:v>0.67384111881256104</c:v>
                </c:pt>
                <c:pt idx="82">
                  <c:v>0.67381888628005981</c:v>
                </c:pt>
                <c:pt idx="83">
                  <c:v>0.67379671335220337</c:v>
                </c:pt>
                <c:pt idx="84">
                  <c:v>0.67377454042434692</c:v>
                </c:pt>
                <c:pt idx="85">
                  <c:v>0.67375236749649048</c:v>
                </c:pt>
                <c:pt idx="86">
                  <c:v>0.67373019456863403</c:v>
                </c:pt>
                <c:pt idx="87">
                  <c:v>0.67370802164077759</c:v>
                </c:pt>
                <c:pt idx="88">
                  <c:v>0.67368584871292114</c:v>
                </c:pt>
                <c:pt idx="89">
                  <c:v>0.6736636757850647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A2-4CC0-B7CA-652D62722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2216191"/>
        <c:axId val="1602208031"/>
      </c:lineChart>
      <c:catAx>
        <c:axId val="160221619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02208031"/>
        <c:crosses val="autoZero"/>
        <c:auto val="1"/>
        <c:lblAlgn val="ctr"/>
        <c:lblOffset val="100"/>
        <c:tickLblSkip val="10"/>
        <c:noMultiLvlLbl val="0"/>
      </c:catAx>
      <c:valAx>
        <c:axId val="1602208031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1.5151515151515152E-2"/>
              <c:y val="3.663604549431309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0221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3819991251093613"/>
          <c:y val="0.7258383409310678"/>
          <c:w val="0.53168098305893585"/>
          <c:h val="0.144384295713035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261075320130442E-2"/>
          <c:y val="2.6772804715200074E-2"/>
          <c:w val="0.88950071581961343"/>
          <c:h val="0.88636033982594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Figure6!$A$2:$A$79</c:f>
              <c:numCache>
                <c:formatCode>General</c:formatCode>
                <c:ptCount val="78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  <c:pt idx="65">
                  <c:v>2012</c:v>
                </c:pt>
                <c:pt idx="66">
                  <c:v>2013</c:v>
                </c:pt>
                <c:pt idx="67">
                  <c:v>2014</c:v>
                </c:pt>
                <c:pt idx="68">
                  <c:v>2015</c:v>
                </c:pt>
                <c:pt idx="69">
                  <c:v>2016</c:v>
                </c:pt>
                <c:pt idx="70">
                  <c:v>2017</c:v>
                </c:pt>
                <c:pt idx="71">
                  <c:v>2018</c:v>
                </c:pt>
                <c:pt idx="72">
                  <c:v>2019</c:v>
                </c:pt>
                <c:pt idx="73">
                  <c:v>2020</c:v>
                </c:pt>
                <c:pt idx="74">
                  <c:v>2021</c:v>
                </c:pt>
                <c:pt idx="75">
                  <c:v>2022</c:v>
                </c:pt>
                <c:pt idx="76">
                  <c:v>2023</c:v>
                </c:pt>
                <c:pt idx="77">
                  <c:v>2024</c:v>
                </c:pt>
              </c:numCache>
            </c:numRef>
          </c:cat>
          <c:val>
            <c:numRef>
              <c:f>Figure6!$E$2:$E$79</c:f>
              <c:numCache>
                <c:formatCode>General</c:formatCode>
                <c:ptCount val="78"/>
                <c:pt idx="0">
                  <c:v>0.97520658187603326</c:v>
                </c:pt>
                <c:pt idx="1">
                  <c:v>0.99788279049945616</c:v>
                </c:pt>
                <c:pt idx="2">
                  <c:v>1.0107200298671803</c:v>
                </c:pt>
                <c:pt idx="3">
                  <c:v>1.021852168617281</c:v>
                </c:pt>
                <c:pt idx="4">
                  <c:v>1.0422151794795209</c:v>
                </c:pt>
                <c:pt idx="5">
                  <c:v>1.038324582894594</c:v>
                </c:pt>
                <c:pt idx="6">
                  <c:v>1.0283769029542067</c:v>
                </c:pt>
                <c:pt idx="7">
                  <c:v>1.0249426124946075</c:v>
                </c:pt>
                <c:pt idx="8">
                  <c:v>1.0255535521041881</c:v>
                </c:pt>
                <c:pt idx="9">
                  <c:v>1.0483287406192878</c:v>
                </c:pt>
                <c:pt idx="10">
                  <c:v>1.0466033809637394</c:v>
                </c:pt>
                <c:pt idx="11">
                  <c:v>1.0262383560571726</c:v>
                </c:pt>
                <c:pt idx="12">
                  <c:v>1.0224543512336697</c:v>
                </c:pt>
                <c:pt idx="13">
                  <c:v>1.0144863046756505</c:v>
                </c:pt>
                <c:pt idx="14">
                  <c:v>1.0018757342507121</c:v>
                </c:pt>
                <c:pt idx="15">
                  <c:v>0.99091945873732123</c:v>
                </c:pt>
                <c:pt idx="16">
                  <c:v>0.97706200446377323</c:v>
                </c:pt>
                <c:pt idx="17">
                  <c:v>0.96859619264156027</c:v>
                </c:pt>
                <c:pt idx="18">
                  <c:v>0.96587845382632997</c:v>
                </c:pt>
                <c:pt idx="19">
                  <c:v>0.95874045683921394</c:v>
                </c:pt>
                <c:pt idx="20">
                  <c:v>0.95559232506549319</c:v>
                </c:pt>
                <c:pt idx="21">
                  <c:v>0.95103879890139931</c:v>
                </c:pt>
                <c:pt idx="22">
                  <c:v>0.94996870022678703</c:v>
                </c:pt>
                <c:pt idx="23">
                  <c:v>0.94119847366931009</c:v>
                </c:pt>
                <c:pt idx="24">
                  <c:v>0.94008584832898456</c:v>
                </c:pt>
                <c:pt idx="25">
                  <c:v>0.93870523240990356</c:v>
                </c:pt>
                <c:pt idx="26">
                  <c:v>0.93847320723020156</c:v>
                </c:pt>
                <c:pt idx="27">
                  <c:v>0.94709229323054422</c:v>
                </c:pt>
                <c:pt idx="28">
                  <c:v>0.97044761940302415</c:v>
                </c:pt>
                <c:pt idx="29">
                  <c:v>0.97063444067231774</c:v>
                </c:pt>
                <c:pt idx="30">
                  <c:v>0.98122778350491591</c:v>
                </c:pt>
                <c:pt idx="31">
                  <c:v>0.99104440949459027</c:v>
                </c:pt>
                <c:pt idx="32">
                  <c:v>0.99727230222218088</c:v>
                </c:pt>
                <c:pt idx="33">
                  <c:v>1</c:v>
                </c:pt>
                <c:pt idx="34">
                  <c:v>0.99899307751962907</c:v>
                </c:pt>
                <c:pt idx="35">
                  <c:v>0.99068779227521786</c:v>
                </c:pt>
                <c:pt idx="36">
                  <c:v>0.95633486120010114</c:v>
                </c:pt>
                <c:pt idx="37">
                  <c:v>0.93294809965057757</c:v>
                </c:pt>
                <c:pt idx="38">
                  <c:v>0.9155393660488661</c:v>
                </c:pt>
                <c:pt idx="39">
                  <c:v>0.91752710321093667</c:v>
                </c:pt>
                <c:pt idx="40">
                  <c:v>0.91413566920973433</c:v>
                </c:pt>
                <c:pt idx="41">
                  <c:v>0.90515919515925081</c:v>
                </c:pt>
                <c:pt idx="42">
                  <c:v>0.8932081812677285</c:v>
                </c:pt>
                <c:pt idx="43">
                  <c:v>0.87884528001410778</c:v>
                </c:pt>
                <c:pt idx="44">
                  <c:v>0.86464482746051874</c:v>
                </c:pt>
                <c:pt idx="45">
                  <c:v>0.84536645121787812</c:v>
                </c:pt>
                <c:pt idx="46">
                  <c:v>0.83555799442736645</c:v>
                </c:pt>
                <c:pt idx="47">
                  <c:v>0.83032666299303171</c:v>
                </c:pt>
                <c:pt idx="48">
                  <c:v>0.82634899549004903</c:v>
                </c:pt>
                <c:pt idx="49">
                  <c:v>0.81105014067221259</c:v>
                </c:pt>
                <c:pt idx="50">
                  <c:v>0.79769844837727999</c:v>
                </c:pt>
                <c:pt idx="51">
                  <c:v>0.7831962126670714</c:v>
                </c:pt>
                <c:pt idx="52">
                  <c:v>0.77311008500565892</c:v>
                </c:pt>
                <c:pt idx="53">
                  <c:v>0.76574163886910429</c:v>
                </c:pt>
                <c:pt idx="54">
                  <c:v>0.75486836836966353</c:v>
                </c:pt>
                <c:pt idx="55">
                  <c:v>0.74615493707327674</c:v>
                </c:pt>
                <c:pt idx="56">
                  <c:v>0.73751157010428303</c:v>
                </c:pt>
                <c:pt idx="57">
                  <c:v>0.73930677577377402</c:v>
                </c:pt>
                <c:pt idx="58">
                  <c:v>0.74593252480475225</c:v>
                </c:pt>
                <c:pt idx="59">
                  <c:v>0.74887238847725612</c:v>
                </c:pt>
                <c:pt idx="60">
                  <c:v>0.74011621184547072</c:v>
                </c:pt>
                <c:pt idx="61">
                  <c:v>0.73240984601215686</c:v>
                </c:pt>
                <c:pt idx="62">
                  <c:v>0.71928768031577595</c:v>
                </c:pt>
                <c:pt idx="63">
                  <c:v>0.69877121917453744</c:v>
                </c:pt>
                <c:pt idx="64">
                  <c:v>0.69130318273232305</c:v>
                </c:pt>
                <c:pt idx="65">
                  <c:v>0.68721738090970086</c:v>
                </c:pt>
                <c:pt idx="66">
                  <c:v>0.68175722612974488</c:v>
                </c:pt>
                <c:pt idx="67">
                  <c:v>0.68154973960482867</c:v>
                </c:pt>
                <c:pt idx="68">
                  <c:v>0.67838534808226236</c:v>
                </c:pt>
                <c:pt idx="69">
                  <c:v>0.67073604179398383</c:v>
                </c:pt>
                <c:pt idx="70">
                  <c:v>0.66841515583621913</c:v>
                </c:pt>
                <c:pt idx="71">
                  <c:v>0.66350773788692785</c:v>
                </c:pt>
                <c:pt idx="72">
                  <c:v>0.6615433638589453</c:v>
                </c:pt>
                <c:pt idx="73">
                  <c:v>0.66006155211410589</c:v>
                </c:pt>
                <c:pt idx="74">
                  <c:v>0.65222229330375292</c:v>
                </c:pt>
                <c:pt idx="75">
                  <c:v>0.65603112023999577</c:v>
                </c:pt>
                <c:pt idx="76">
                  <c:v>0.65354593619579027</c:v>
                </c:pt>
                <c:pt idx="77">
                  <c:v>0.64909889669134868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DF-4EF6-A945-6920879DD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159375"/>
        <c:axId val="1300167055"/>
      </c:lineChart>
      <c:catAx>
        <c:axId val="130015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300167055"/>
        <c:crosses val="autoZero"/>
        <c:auto val="1"/>
        <c:lblAlgn val="ctr"/>
        <c:lblOffset val="100"/>
        <c:tickLblSkip val="10"/>
        <c:noMultiLvlLbl val="0"/>
      </c:catAx>
      <c:valAx>
        <c:axId val="1300167055"/>
        <c:scaling>
          <c:orientation val="minMax"/>
          <c:min val="0.60000000000000009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30015937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06036745406841E-2"/>
          <c:y val="7.6754385964912283E-2"/>
          <c:w val="0.90523840769903774"/>
          <c:h val="0.8353009738914214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Figure11!$A$2:$A$202</c:f>
              <c:numCache>
                <c:formatCode>General</c:formatCode>
                <c:ptCount val="201"/>
                <c:pt idx="0">
                  <c:v>1E-3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cat>
          <c:val>
            <c:numRef>
              <c:f>Figure11!$B$2:$B$202</c:f>
              <c:numCache>
                <c:formatCode>General</c:formatCode>
                <c:ptCount val="201"/>
                <c:pt idx="0">
                  <c:v>1.998001998001998E-3</c:v>
                </c:pt>
                <c:pt idx="1">
                  <c:v>0.18181818181818182</c:v>
                </c:pt>
                <c:pt idx="2">
                  <c:v>0.33333333333333331</c:v>
                </c:pt>
                <c:pt idx="3">
                  <c:v>0.46153846153846145</c:v>
                </c:pt>
                <c:pt idx="4">
                  <c:v>0.5714285714285714</c:v>
                </c:pt>
                <c:pt idx="5">
                  <c:v>0.66666666666666663</c:v>
                </c:pt>
                <c:pt idx="6">
                  <c:v>0.74999999999999989</c:v>
                </c:pt>
                <c:pt idx="7">
                  <c:v>0.82352941176470584</c:v>
                </c:pt>
                <c:pt idx="8">
                  <c:v>0.88888888888888884</c:v>
                </c:pt>
                <c:pt idx="9">
                  <c:v>0.94736842105263153</c:v>
                </c:pt>
                <c:pt idx="10">
                  <c:v>1</c:v>
                </c:pt>
                <c:pt idx="11">
                  <c:v>1.0476190476190477</c:v>
                </c:pt>
                <c:pt idx="12">
                  <c:v>1.0909090909090908</c:v>
                </c:pt>
                <c:pt idx="13">
                  <c:v>1.1304347826086958</c:v>
                </c:pt>
                <c:pt idx="14">
                  <c:v>1.1666666666666665</c:v>
                </c:pt>
                <c:pt idx="15">
                  <c:v>1.2000000000000002</c:v>
                </c:pt>
                <c:pt idx="16">
                  <c:v>1.2307692307692308</c:v>
                </c:pt>
                <c:pt idx="17">
                  <c:v>1.2592592592592591</c:v>
                </c:pt>
                <c:pt idx="18">
                  <c:v>1.2857142857142856</c:v>
                </c:pt>
                <c:pt idx="19">
                  <c:v>1.3103448275862071</c:v>
                </c:pt>
                <c:pt idx="20">
                  <c:v>1.3333333333333333</c:v>
                </c:pt>
                <c:pt idx="21">
                  <c:v>1.3548387096774193</c:v>
                </c:pt>
                <c:pt idx="22">
                  <c:v>1.375</c:v>
                </c:pt>
                <c:pt idx="23">
                  <c:v>1.3939393939393938</c:v>
                </c:pt>
                <c:pt idx="24">
                  <c:v>1.4117647058823528</c:v>
                </c:pt>
                <c:pt idx="25">
                  <c:v>1.4285714285714286</c:v>
                </c:pt>
                <c:pt idx="26">
                  <c:v>1.4444444444444444</c:v>
                </c:pt>
                <c:pt idx="27">
                  <c:v>1.4594594594594597</c:v>
                </c:pt>
                <c:pt idx="28">
                  <c:v>1.4736842105263157</c:v>
                </c:pt>
                <c:pt idx="29">
                  <c:v>1.4871794871794872</c:v>
                </c:pt>
                <c:pt idx="30">
                  <c:v>1.5</c:v>
                </c:pt>
                <c:pt idx="31">
                  <c:v>1.5121951219512195</c:v>
                </c:pt>
                <c:pt idx="32">
                  <c:v>1.5238095238095237</c:v>
                </c:pt>
                <c:pt idx="33">
                  <c:v>1.5348837209302326</c:v>
                </c:pt>
                <c:pt idx="34">
                  <c:v>1.5454545454545454</c:v>
                </c:pt>
                <c:pt idx="35">
                  <c:v>1.5555555555555558</c:v>
                </c:pt>
                <c:pt idx="36">
                  <c:v>1.5652173913043479</c:v>
                </c:pt>
                <c:pt idx="37">
                  <c:v>1.574468085106383</c:v>
                </c:pt>
                <c:pt idx="38">
                  <c:v>1.5833333333333335</c:v>
                </c:pt>
                <c:pt idx="39">
                  <c:v>1.5918367346938775</c:v>
                </c:pt>
                <c:pt idx="40">
                  <c:v>1.6</c:v>
                </c:pt>
                <c:pt idx="41">
                  <c:v>1.607843137254902</c:v>
                </c:pt>
                <c:pt idx="42">
                  <c:v>1.6153846153846154</c:v>
                </c:pt>
                <c:pt idx="43">
                  <c:v>1.6226415094339623</c:v>
                </c:pt>
                <c:pt idx="44">
                  <c:v>1.6296296296296295</c:v>
                </c:pt>
                <c:pt idx="45">
                  <c:v>1.6363636363636362</c:v>
                </c:pt>
                <c:pt idx="46">
                  <c:v>1.6428571428571428</c:v>
                </c:pt>
                <c:pt idx="47">
                  <c:v>1.6491228070175437</c:v>
                </c:pt>
                <c:pt idx="48">
                  <c:v>1.6551724137931036</c:v>
                </c:pt>
                <c:pt idx="49">
                  <c:v>1.6610169491525424</c:v>
                </c:pt>
                <c:pt idx="50">
                  <c:v>1.6666666666666667</c:v>
                </c:pt>
                <c:pt idx="51">
                  <c:v>1.6721311475409837</c:v>
                </c:pt>
                <c:pt idx="52">
                  <c:v>1.6774193548387097</c:v>
                </c:pt>
                <c:pt idx="53">
                  <c:v>1.6825396825396826</c:v>
                </c:pt>
                <c:pt idx="54">
                  <c:v>1.6875</c:v>
                </c:pt>
                <c:pt idx="55">
                  <c:v>1.6923076923076923</c:v>
                </c:pt>
                <c:pt idx="56">
                  <c:v>1.696969696969697</c:v>
                </c:pt>
                <c:pt idx="57">
                  <c:v>1.7014925373134326</c:v>
                </c:pt>
                <c:pt idx="58">
                  <c:v>1.7058823529411762</c:v>
                </c:pt>
                <c:pt idx="59">
                  <c:v>1.7101449275362319</c:v>
                </c:pt>
                <c:pt idx="60">
                  <c:v>1.7142857142857142</c:v>
                </c:pt>
                <c:pt idx="61">
                  <c:v>1.7183098591549297</c:v>
                </c:pt>
                <c:pt idx="62">
                  <c:v>1.7222222222222221</c:v>
                </c:pt>
                <c:pt idx="63">
                  <c:v>1.7260273972602742</c:v>
                </c:pt>
                <c:pt idx="64">
                  <c:v>1.7297297297297298</c:v>
                </c:pt>
                <c:pt idx="65">
                  <c:v>1.7333333333333334</c:v>
                </c:pt>
                <c:pt idx="66">
                  <c:v>1.7368421052631577</c:v>
                </c:pt>
                <c:pt idx="67">
                  <c:v>1.7402597402597402</c:v>
                </c:pt>
                <c:pt idx="68">
                  <c:v>1.7435897435897436</c:v>
                </c:pt>
                <c:pt idx="69">
                  <c:v>1.7468354430379747</c:v>
                </c:pt>
                <c:pt idx="70">
                  <c:v>1.75</c:v>
                </c:pt>
                <c:pt idx="71">
                  <c:v>1.7530864197530864</c:v>
                </c:pt>
                <c:pt idx="72">
                  <c:v>1.7560975609756098</c:v>
                </c:pt>
                <c:pt idx="73">
                  <c:v>1.7590361445783131</c:v>
                </c:pt>
                <c:pt idx="74">
                  <c:v>1.7619047619047621</c:v>
                </c:pt>
                <c:pt idx="75">
                  <c:v>1.7647058823529411</c:v>
                </c:pt>
                <c:pt idx="76">
                  <c:v>1.7674418604651163</c:v>
                </c:pt>
                <c:pt idx="77">
                  <c:v>1.7701149425287355</c:v>
                </c:pt>
                <c:pt idx="78">
                  <c:v>1.7727272727272727</c:v>
                </c:pt>
                <c:pt idx="79">
                  <c:v>1.7752808988764044</c:v>
                </c:pt>
                <c:pt idx="80">
                  <c:v>1.7777777777777777</c:v>
                </c:pt>
                <c:pt idx="81">
                  <c:v>1.7802197802197801</c:v>
                </c:pt>
                <c:pt idx="82">
                  <c:v>1.7826086956521738</c:v>
                </c:pt>
                <c:pt idx="83">
                  <c:v>1.78494623655914</c:v>
                </c:pt>
                <c:pt idx="84">
                  <c:v>1.7872340425531914</c:v>
                </c:pt>
                <c:pt idx="85">
                  <c:v>1.7894736842105263</c:v>
                </c:pt>
                <c:pt idx="86">
                  <c:v>1.7916666666666667</c:v>
                </c:pt>
                <c:pt idx="87">
                  <c:v>1.7938144329896906</c:v>
                </c:pt>
                <c:pt idx="88">
                  <c:v>1.795918367346939</c:v>
                </c:pt>
                <c:pt idx="89">
                  <c:v>1.7979797979797978</c:v>
                </c:pt>
                <c:pt idx="90">
                  <c:v>1.7999999999999998</c:v>
                </c:pt>
                <c:pt idx="91">
                  <c:v>1.8019801980198018</c:v>
                </c:pt>
                <c:pt idx="92">
                  <c:v>1.803921568627451</c:v>
                </c:pt>
                <c:pt idx="93">
                  <c:v>1.8058252427184467</c:v>
                </c:pt>
                <c:pt idx="94">
                  <c:v>1.8076923076923077</c:v>
                </c:pt>
                <c:pt idx="95">
                  <c:v>1.8095238095238098</c:v>
                </c:pt>
                <c:pt idx="96">
                  <c:v>1.811320754716981</c:v>
                </c:pt>
                <c:pt idx="97">
                  <c:v>1.8130841121495327</c:v>
                </c:pt>
                <c:pt idx="98">
                  <c:v>1.8148148148148151</c:v>
                </c:pt>
                <c:pt idx="99">
                  <c:v>1.8165137614678899</c:v>
                </c:pt>
                <c:pt idx="100">
                  <c:v>1.8181818181818181</c:v>
                </c:pt>
                <c:pt idx="101">
                  <c:v>1.8198198198198197</c:v>
                </c:pt>
                <c:pt idx="102">
                  <c:v>1.8214285714285712</c:v>
                </c:pt>
                <c:pt idx="103">
                  <c:v>1.8230088495575223</c:v>
                </c:pt>
                <c:pt idx="104">
                  <c:v>1.8245614035087718</c:v>
                </c:pt>
                <c:pt idx="105">
                  <c:v>1.826086956521739</c:v>
                </c:pt>
                <c:pt idx="106">
                  <c:v>1.8275862068965518</c:v>
                </c:pt>
                <c:pt idx="107">
                  <c:v>1.829059829059829</c:v>
                </c:pt>
                <c:pt idx="108">
                  <c:v>1.8305084745762712</c:v>
                </c:pt>
                <c:pt idx="109">
                  <c:v>1.8319327731092439</c:v>
                </c:pt>
                <c:pt idx="110">
                  <c:v>1.8333333333333335</c:v>
                </c:pt>
                <c:pt idx="111">
                  <c:v>1.834710743801653</c:v>
                </c:pt>
                <c:pt idx="112">
                  <c:v>1.8360655737704921</c:v>
                </c:pt>
                <c:pt idx="113">
                  <c:v>1.8373983739837401</c:v>
                </c:pt>
                <c:pt idx="114">
                  <c:v>1.8387096774193548</c:v>
                </c:pt>
                <c:pt idx="115">
                  <c:v>1.84</c:v>
                </c:pt>
                <c:pt idx="116">
                  <c:v>1.8412698412698412</c:v>
                </c:pt>
                <c:pt idx="117">
                  <c:v>1.8425196850393701</c:v>
                </c:pt>
                <c:pt idx="118">
                  <c:v>1.84375</c:v>
                </c:pt>
                <c:pt idx="119">
                  <c:v>1.8449612403100777</c:v>
                </c:pt>
                <c:pt idx="120">
                  <c:v>1.8461538461538463</c:v>
                </c:pt>
                <c:pt idx="121">
                  <c:v>1.8473282442748094</c:v>
                </c:pt>
                <c:pt idx="122">
                  <c:v>1.8484848484848484</c:v>
                </c:pt>
                <c:pt idx="123">
                  <c:v>1.8496240601503759</c:v>
                </c:pt>
                <c:pt idx="124">
                  <c:v>1.8507462686567164</c:v>
                </c:pt>
                <c:pt idx="125">
                  <c:v>1.8518518518518516</c:v>
                </c:pt>
                <c:pt idx="126">
                  <c:v>1.8529411764705883</c:v>
                </c:pt>
                <c:pt idx="127">
                  <c:v>1.8540145985401459</c:v>
                </c:pt>
                <c:pt idx="128">
                  <c:v>1.855072463768116</c:v>
                </c:pt>
                <c:pt idx="129">
                  <c:v>1.8561151079136693</c:v>
                </c:pt>
                <c:pt idx="130">
                  <c:v>1.8571428571428572</c:v>
                </c:pt>
                <c:pt idx="131">
                  <c:v>1.8581560283687946</c:v>
                </c:pt>
                <c:pt idx="132">
                  <c:v>1.859154929577465</c:v>
                </c:pt>
                <c:pt idx="133">
                  <c:v>1.86013986013986</c:v>
                </c:pt>
                <c:pt idx="134">
                  <c:v>1.8611111111111112</c:v>
                </c:pt>
                <c:pt idx="135">
                  <c:v>1.8620689655172415</c:v>
                </c:pt>
                <c:pt idx="136">
                  <c:v>1.8630136986301371</c:v>
                </c:pt>
                <c:pt idx="137">
                  <c:v>1.8639455782312926</c:v>
                </c:pt>
                <c:pt idx="138">
                  <c:v>1.8648648648648647</c:v>
                </c:pt>
                <c:pt idx="139">
                  <c:v>1.8657718120805369</c:v>
                </c:pt>
                <c:pt idx="140">
                  <c:v>1.8666666666666667</c:v>
                </c:pt>
                <c:pt idx="141">
                  <c:v>1.867549668874172</c:v>
                </c:pt>
                <c:pt idx="142">
                  <c:v>1.8684210526315792</c:v>
                </c:pt>
                <c:pt idx="143">
                  <c:v>1.8692810457516338</c:v>
                </c:pt>
                <c:pt idx="144">
                  <c:v>1.8701298701298701</c:v>
                </c:pt>
                <c:pt idx="145">
                  <c:v>1.870967741935484</c:v>
                </c:pt>
                <c:pt idx="146">
                  <c:v>1.8717948717948718</c:v>
                </c:pt>
                <c:pt idx="147">
                  <c:v>1.8726114649681527</c:v>
                </c:pt>
                <c:pt idx="148">
                  <c:v>1.8734177215189873</c:v>
                </c:pt>
                <c:pt idx="149">
                  <c:v>1.8742138364779877</c:v>
                </c:pt>
                <c:pt idx="150">
                  <c:v>1.875</c:v>
                </c:pt>
                <c:pt idx="151">
                  <c:v>1.8757763975155282</c:v>
                </c:pt>
                <c:pt idx="152">
                  <c:v>1.8765432098765431</c:v>
                </c:pt>
                <c:pt idx="153">
                  <c:v>1.8773006134969326</c:v>
                </c:pt>
                <c:pt idx="154">
                  <c:v>1.878048780487805</c:v>
                </c:pt>
                <c:pt idx="155">
                  <c:v>1.8787878787878789</c:v>
                </c:pt>
                <c:pt idx="156">
                  <c:v>1.8795180722891567</c:v>
                </c:pt>
                <c:pt idx="157">
                  <c:v>1.8802395209580838</c:v>
                </c:pt>
                <c:pt idx="158">
                  <c:v>1.8809523809523812</c:v>
                </c:pt>
                <c:pt idx="159">
                  <c:v>1.8816568047337279</c:v>
                </c:pt>
                <c:pt idx="160">
                  <c:v>1.8823529411764706</c:v>
                </c:pt>
                <c:pt idx="161">
                  <c:v>1.8830409356725148</c:v>
                </c:pt>
                <c:pt idx="162">
                  <c:v>1.8837209302325582</c:v>
                </c:pt>
                <c:pt idx="163">
                  <c:v>1.8843930635838149</c:v>
                </c:pt>
                <c:pt idx="164">
                  <c:v>1.8850574712643677</c:v>
                </c:pt>
                <c:pt idx="165">
                  <c:v>1.8857142857142859</c:v>
                </c:pt>
                <c:pt idx="166">
                  <c:v>1.8863636363636362</c:v>
                </c:pt>
                <c:pt idx="167">
                  <c:v>1.8870056497175141</c:v>
                </c:pt>
                <c:pt idx="168">
                  <c:v>1.8876404494382022</c:v>
                </c:pt>
                <c:pt idx="169">
                  <c:v>1.8882681564245809</c:v>
                </c:pt>
                <c:pt idx="170">
                  <c:v>1.8888888888888888</c:v>
                </c:pt>
                <c:pt idx="171">
                  <c:v>1.8895027624309395</c:v>
                </c:pt>
                <c:pt idx="172">
                  <c:v>1.8901098901098898</c:v>
                </c:pt>
                <c:pt idx="173">
                  <c:v>1.8907103825136611</c:v>
                </c:pt>
                <c:pt idx="174">
                  <c:v>1.8913043478260869</c:v>
                </c:pt>
                <c:pt idx="175">
                  <c:v>1.8918918918918919</c:v>
                </c:pt>
                <c:pt idx="176">
                  <c:v>1.8924731182795698</c:v>
                </c:pt>
                <c:pt idx="177">
                  <c:v>1.8930481283422462</c:v>
                </c:pt>
                <c:pt idx="178">
                  <c:v>1.8936170212765959</c:v>
                </c:pt>
                <c:pt idx="179">
                  <c:v>1.8941798941798942</c:v>
                </c:pt>
                <c:pt idx="180">
                  <c:v>1.8947368421052631</c:v>
                </c:pt>
                <c:pt idx="181">
                  <c:v>1.8952879581151831</c:v>
                </c:pt>
                <c:pt idx="182">
                  <c:v>1.8958333333333333</c:v>
                </c:pt>
                <c:pt idx="183">
                  <c:v>1.8963730569948185</c:v>
                </c:pt>
                <c:pt idx="184">
                  <c:v>1.8969072164948453</c:v>
                </c:pt>
                <c:pt idx="185">
                  <c:v>1.8974358974358976</c:v>
                </c:pt>
                <c:pt idx="186">
                  <c:v>1.8979591836734695</c:v>
                </c:pt>
                <c:pt idx="187">
                  <c:v>1.898477157360406</c:v>
                </c:pt>
                <c:pt idx="188">
                  <c:v>1.8989898989898992</c:v>
                </c:pt>
                <c:pt idx="189">
                  <c:v>1.8994974874371857</c:v>
                </c:pt>
                <c:pt idx="190">
                  <c:v>1.9000000000000001</c:v>
                </c:pt>
                <c:pt idx="191">
                  <c:v>1.900497512437811</c:v>
                </c:pt>
                <c:pt idx="192">
                  <c:v>1.9009900990099011</c:v>
                </c:pt>
                <c:pt idx="193">
                  <c:v>1.9014778325123154</c:v>
                </c:pt>
                <c:pt idx="194">
                  <c:v>1.9019607843137254</c:v>
                </c:pt>
                <c:pt idx="195">
                  <c:v>1.9024390243902438</c:v>
                </c:pt>
                <c:pt idx="196">
                  <c:v>1.9029126213592233</c:v>
                </c:pt>
                <c:pt idx="197">
                  <c:v>1.9033816425120775</c:v>
                </c:pt>
                <c:pt idx="198">
                  <c:v>1.9038461538461537</c:v>
                </c:pt>
                <c:pt idx="199">
                  <c:v>1.9043062200956937</c:v>
                </c:pt>
                <c:pt idx="200">
                  <c:v>1.9047619047619047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E9-44D7-BF0F-4EDA289FE8FB}"/>
            </c:ext>
          </c:extLst>
        </c:ser>
        <c:ser>
          <c:idx val="1"/>
          <c:order val="1"/>
          <c:spPr>
            <a:ln w="28575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Figure11!$A$2:$A$202</c:f>
              <c:numCache>
                <c:formatCode>General</c:formatCode>
                <c:ptCount val="201"/>
                <c:pt idx="0">
                  <c:v>1E-3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cat>
          <c:val>
            <c:numRef>
              <c:f>Figure11!$D$2:$D$202</c:f>
              <c:numCache>
                <c:formatCode>General</c:formatCode>
                <c:ptCount val="20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E9-44D7-BF0F-4EDA289FE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04768"/>
        <c:axId val="1477732272"/>
      </c:lineChart>
      <c:catAx>
        <c:axId val="1684404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trike="noStrike"/>
                  <a:t>A</a:t>
                </a:r>
                <a:r>
                  <a:rPr lang="en-US" strike="noStrike" baseline="-25000"/>
                  <a:t>K,t</a:t>
                </a:r>
                <a:r>
                  <a:rPr lang="en-US" strike="noStrike" baseline="0"/>
                  <a:t>K</a:t>
                </a:r>
                <a:r>
                  <a:rPr lang="en-US" strike="noStrike" baseline="-25000"/>
                  <a:t>t</a:t>
                </a:r>
                <a:endParaRPr lang="en-US" strike="noStrik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477732272"/>
        <c:crosses val="autoZero"/>
        <c:auto val="1"/>
        <c:lblAlgn val="ctr"/>
        <c:lblOffset val="100"/>
        <c:tickMarkSkip val="10"/>
        <c:noMultiLvlLbl val="0"/>
      </c:catAx>
      <c:valAx>
        <c:axId val="1477732272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Y</a:t>
                </a:r>
                <a:r>
                  <a:rPr lang="en-US" baseline="-25000"/>
                  <a:t>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111111111111112E-2"/>
              <c:y val="6.0896993139015522E-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84404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046587926509168E-2"/>
          <c:y val="8.3022804715200085E-2"/>
          <c:w val="0.89939785651793525"/>
          <c:h val="0.8295442510475664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Figure11!$C$2:$C$202</c:f>
              <c:numCache>
                <c:formatCode>General</c:formatCode>
                <c:ptCount val="201"/>
                <c:pt idx="0">
                  <c:v>0.26606138830084197</c:v>
                </c:pt>
                <c:pt idx="1">
                  <c:v>0.43311388300841902</c:v>
                </c:pt>
                <c:pt idx="2">
                  <c:v>0.52360679774997887</c:v>
                </c:pt>
                <c:pt idx="3">
                  <c:v>0.59886127875258299</c:v>
                </c:pt>
                <c:pt idx="4">
                  <c:v>0.66622776601683809</c:v>
                </c:pt>
                <c:pt idx="5">
                  <c:v>0.72855339059327373</c:v>
                </c:pt>
                <c:pt idx="6">
                  <c:v>0.78729833462074172</c:v>
                </c:pt>
                <c:pt idx="7">
                  <c:v>0.84333001326703783</c:v>
                </c:pt>
                <c:pt idx="8">
                  <c:v>0.89721359549995783</c:v>
                </c:pt>
                <c:pt idx="9">
                  <c:v>0.94934164902525686</c:v>
                </c:pt>
                <c:pt idx="10">
                  <c:v>1</c:v>
                </c:pt>
                <c:pt idx="11">
                  <c:v>1.0494044240850759</c:v>
                </c:pt>
                <c:pt idx="12">
                  <c:v>1.0977225575051661</c:v>
                </c:pt>
                <c:pt idx="13">
                  <c:v>1.1450877125495693</c:v>
                </c:pt>
                <c:pt idx="14">
                  <c:v>1.1916079783099618</c:v>
                </c:pt>
                <c:pt idx="15">
                  <c:v>1.2373724356957945</c:v>
                </c:pt>
                <c:pt idx="16">
                  <c:v>1.2824555320336761</c:v>
                </c:pt>
                <c:pt idx="17">
                  <c:v>1.3269202405202649</c:v>
                </c:pt>
                <c:pt idx="18">
                  <c:v>1.3708203932499372</c:v>
                </c:pt>
                <c:pt idx="19">
                  <c:v>1.4142024376045113</c:v>
                </c:pt>
                <c:pt idx="20">
                  <c:v>1.4571067811865475</c:v>
                </c:pt>
                <c:pt idx="21">
                  <c:v>1.4995688373094722</c:v>
                </c:pt>
                <c:pt idx="22">
                  <c:v>1.541619848709566</c:v>
                </c:pt>
                <c:pt idx="23">
                  <c:v>1.5832875444051546</c:v>
                </c:pt>
                <c:pt idx="24">
                  <c:v>1.6245966692414835</c:v>
                </c:pt>
                <c:pt idx="25">
                  <c:v>1.6655694150420952</c:v>
                </c:pt>
                <c:pt idx="26">
                  <c:v>1.7062257748298548</c:v>
                </c:pt>
                <c:pt idx="27">
                  <c:v>1.7465838362577493</c:v>
                </c:pt>
                <c:pt idx="28">
                  <c:v>1.7866600265340755</c:v>
                </c:pt>
                <c:pt idx="29">
                  <c:v>1.8264693182963199</c:v>
                </c:pt>
                <c:pt idx="30">
                  <c:v>1.8660254037844386</c:v>
                </c:pt>
                <c:pt idx="31">
                  <c:v>1.9053408430829504</c:v>
                </c:pt>
                <c:pt idx="32">
                  <c:v>1.9444271909999156</c:v>
                </c:pt>
                <c:pt idx="33">
                  <c:v>1.9832951062292474</c:v>
                </c:pt>
                <c:pt idx="34">
                  <c:v>2.0219544457292886</c:v>
                </c:pt>
                <c:pt idx="35">
                  <c:v>2.0604143466934848</c:v>
                </c:pt>
                <c:pt idx="36">
                  <c:v>2.0986832980505139</c:v>
                </c:pt>
                <c:pt idx="37">
                  <c:v>2.136769203083567</c:v>
                </c:pt>
                <c:pt idx="38">
                  <c:v>2.174679434480896</c:v>
                </c:pt>
                <c:pt idx="39">
                  <c:v>2.2124208829065748</c:v>
                </c:pt>
                <c:pt idx="40">
                  <c:v>2.25</c:v>
                </c:pt>
                <c:pt idx="41">
                  <c:v>2.2874228365658289</c:v>
                </c:pt>
                <c:pt idx="42">
                  <c:v>2.32469507659596</c:v>
                </c:pt>
                <c:pt idx="43">
                  <c:v>2.3618220676663859</c:v>
                </c:pt>
                <c:pt idx="44">
                  <c:v>2.3988088481701517</c:v>
                </c:pt>
                <c:pt idx="45">
                  <c:v>2.435660171779821</c:v>
                </c:pt>
                <c:pt idx="46">
                  <c:v>2.4723805294763608</c:v>
                </c:pt>
                <c:pt idx="47">
                  <c:v>2.50897416943394</c:v>
                </c:pt>
                <c:pt idx="48">
                  <c:v>2.5454451150103319</c:v>
                </c:pt>
                <c:pt idx="49">
                  <c:v>2.5817971810589326</c:v>
                </c:pt>
                <c:pt idx="50">
                  <c:v>2.6180339887498949</c:v>
                </c:pt>
                <c:pt idx="51">
                  <c:v>2.6541589790636211</c:v>
                </c:pt>
                <c:pt idx="52">
                  <c:v>2.6901754250991381</c:v>
                </c:pt>
                <c:pt idx="53">
                  <c:v>2.7260864433221337</c:v>
                </c:pt>
                <c:pt idx="54">
                  <c:v>2.7618950038622252</c:v>
                </c:pt>
                <c:pt idx="55">
                  <c:v>2.7976039399558577</c:v>
                </c:pt>
                <c:pt idx="56">
                  <c:v>2.8332159566199233</c:v>
                </c:pt>
                <c:pt idx="57">
                  <c:v>2.868733638631332</c:v>
                </c:pt>
                <c:pt idx="58">
                  <c:v>2.90415945787923</c:v>
                </c:pt>
                <c:pt idx="59">
                  <c:v>2.9394957801491115</c:v>
                </c:pt>
                <c:pt idx="60">
                  <c:v>2.9747448713915885</c:v>
                </c:pt>
                <c:pt idx="61">
                  <c:v>3.009908903522847</c:v>
                </c:pt>
                <c:pt idx="62">
                  <c:v>3.044989959798873</c:v>
                </c:pt>
                <c:pt idx="63">
                  <c:v>3.0799900398011135</c:v>
                </c:pt>
                <c:pt idx="64">
                  <c:v>3.1149110640673516</c:v>
                </c:pt>
                <c:pt idx="65">
                  <c:v>3.1497548783981961</c:v>
                </c:pt>
                <c:pt idx="66">
                  <c:v>3.184523257866513</c:v>
                </c:pt>
                <c:pt idx="67">
                  <c:v>3.2192179105544785</c:v>
                </c:pt>
                <c:pt idx="68">
                  <c:v>3.2538404810405299</c:v>
                </c:pt>
                <c:pt idx="69">
                  <c:v>3.2883925536563701</c:v>
                </c:pt>
                <c:pt idx="70">
                  <c:v>3.3228756555322954</c:v>
                </c:pt>
                <c:pt idx="71">
                  <c:v>3.3572912594474227</c:v>
                </c:pt>
                <c:pt idx="72">
                  <c:v>3.3916407864998739</c:v>
                </c:pt>
                <c:pt idx="73">
                  <c:v>3.4259256086106298</c:v>
                </c:pt>
                <c:pt idx="74">
                  <c:v>3.4601470508735441</c:v>
                </c:pt>
                <c:pt idx="75">
                  <c:v>3.4943063937629155</c:v>
                </c:pt>
                <c:pt idx="76">
                  <c:v>3.5284048752090218</c:v>
                </c:pt>
                <c:pt idx="77">
                  <c:v>3.5624436925511609</c:v>
                </c:pt>
                <c:pt idx="78">
                  <c:v>3.5964240043768938</c:v>
                </c:pt>
                <c:pt idx="79">
                  <c:v>3.6303469322555197</c:v>
                </c:pt>
                <c:pt idx="80">
                  <c:v>3.6642135623730954</c:v>
                </c:pt>
                <c:pt idx="81">
                  <c:v>3.6980249470757709</c:v>
                </c:pt>
                <c:pt idx="82">
                  <c:v>3.7317821063276351</c:v>
                </c:pt>
                <c:pt idx="83">
                  <c:v>3.7654860290887933</c:v>
                </c:pt>
                <c:pt idx="84">
                  <c:v>3.7991376746189442</c:v>
                </c:pt>
                <c:pt idx="85">
                  <c:v>3.8327379737113252</c:v>
                </c:pt>
                <c:pt idx="86">
                  <c:v>3.8662878298615184</c:v>
                </c:pt>
                <c:pt idx="87">
                  <c:v>3.8997881203752618</c:v>
                </c:pt>
                <c:pt idx="88">
                  <c:v>3.9332396974191326</c:v>
                </c:pt>
                <c:pt idx="89">
                  <c:v>3.9666433890176296</c:v>
                </c:pt>
                <c:pt idx="90">
                  <c:v>4</c:v>
                </c:pt>
                <c:pt idx="91">
                  <c:v>4.033310312899836</c:v>
                </c:pt>
                <c:pt idx="92">
                  <c:v>4.0665750888103087</c:v>
                </c:pt>
                <c:pt idx="93">
                  <c:v>4.0997950681976914</c:v>
                </c:pt>
                <c:pt idx="94">
                  <c:v>4.1329709716755909</c:v>
                </c:pt>
                <c:pt idx="95">
                  <c:v>4.1661035007422429</c:v>
                </c:pt>
                <c:pt idx="96">
                  <c:v>4.1991933384829672</c:v>
                </c:pt>
                <c:pt idx="97">
                  <c:v>4.2322411502397435</c:v>
                </c:pt>
                <c:pt idx="98">
                  <c:v>4.2652475842498525</c:v>
                </c:pt>
                <c:pt idx="99">
                  <c:v>4.2982132722552269</c:v>
                </c:pt>
                <c:pt idx="100">
                  <c:v>4.3311388300841909</c:v>
                </c:pt>
                <c:pt idx="101">
                  <c:v>4.3640248582070695</c:v>
                </c:pt>
                <c:pt idx="102">
                  <c:v>4.396871942267131</c:v>
                </c:pt>
                <c:pt idx="103">
                  <c:v>4.4296806535881226</c:v>
                </c:pt>
                <c:pt idx="104">
                  <c:v>4.4624515496597095</c:v>
                </c:pt>
                <c:pt idx="105">
                  <c:v>4.4951851746019651</c:v>
                </c:pt>
                <c:pt idx="106">
                  <c:v>4.5278820596099711</c:v>
                </c:pt>
                <c:pt idx="107">
                  <c:v>4.5605427233796112</c:v>
                </c:pt>
                <c:pt idx="108">
                  <c:v>4.5931676725154986</c:v>
                </c:pt>
                <c:pt idx="109">
                  <c:v>4.6257574019219172</c:v>
                </c:pt>
                <c:pt idx="110">
                  <c:v>4.6583123951776999</c:v>
                </c:pt>
                <c:pt idx="111">
                  <c:v>4.690833124895768</c:v>
                </c:pt>
                <c:pt idx="112">
                  <c:v>4.7233200530681509</c:v>
                </c:pt>
                <c:pt idx="113">
                  <c:v>4.7557736313971608</c:v>
                </c:pt>
                <c:pt idx="114">
                  <c:v>4.788194301613415</c:v>
                </c:pt>
                <c:pt idx="115">
                  <c:v>4.8205824957813181</c:v>
                </c:pt>
                <c:pt idx="116">
                  <c:v>4.8529386365926399</c:v>
                </c:pt>
                <c:pt idx="117">
                  <c:v>4.8852631376487068</c:v>
                </c:pt>
                <c:pt idx="118">
                  <c:v>4.9175564037317665</c:v>
                </c:pt>
                <c:pt idx="119">
                  <c:v>4.9498188310660325</c:v>
                </c:pt>
                <c:pt idx="120">
                  <c:v>4.9820508075688767</c:v>
                </c:pt>
                <c:pt idx="121">
                  <c:v>5.014252713092608</c:v>
                </c:pt>
                <c:pt idx="122">
                  <c:v>5.0464249196572979</c:v>
                </c:pt>
                <c:pt idx="123">
                  <c:v>5.0785677916750185</c:v>
                </c:pt>
                <c:pt idx="124">
                  <c:v>5.1106816861659006</c:v>
                </c:pt>
                <c:pt idx="125">
                  <c:v>5.1427669529663689</c:v>
                </c:pt>
                <c:pt idx="126">
                  <c:v>5.1748239349298863</c:v>
                </c:pt>
                <c:pt idx="127">
                  <c:v>5.206852968120546</c:v>
                </c:pt>
                <c:pt idx="128">
                  <c:v>5.2388543819998308</c:v>
                </c:pt>
                <c:pt idx="129">
                  <c:v>5.2708284996067967</c:v>
                </c:pt>
                <c:pt idx="130">
                  <c:v>5.3027756377319957</c:v>
                </c:pt>
                <c:pt idx="131">
                  <c:v>5.3346961070853851</c:v>
                </c:pt>
                <c:pt idx="132">
                  <c:v>5.3665902124584948</c:v>
                </c:pt>
                <c:pt idx="133">
                  <c:v>5.3984582528810483</c:v>
                </c:pt>
                <c:pt idx="134">
                  <c:v>5.4303005217723133</c:v>
                </c:pt>
                <c:pt idx="135">
                  <c:v>5.4621173070873841</c:v>
                </c:pt>
                <c:pt idx="136">
                  <c:v>5.4939088914585774</c:v>
                </c:pt>
                <c:pt idx="137">
                  <c:v>5.5256755523321734</c:v>
                </c:pt>
                <c:pt idx="138">
                  <c:v>5.5574175621006701</c:v>
                </c:pt>
                <c:pt idx="139">
                  <c:v>5.589135188230725</c:v>
                </c:pt>
                <c:pt idx="140">
                  <c:v>5.6208286933869696</c:v>
                </c:pt>
                <c:pt idx="141">
                  <c:v>5.652498335551857</c:v>
                </c:pt>
                <c:pt idx="142">
                  <c:v>5.684144368141677</c:v>
                </c:pt>
                <c:pt idx="143">
                  <c:v>5.7157670401189051</c:v>
                </c:pt>
                <c:pt idx="144">
                  <c:v>5.7473665961010276</c:v>
                </c:pt>
                <c:pt idx="145">
                  <c:v>5.7789432764659772</c:v>
                </c:pt>
                <c:pt idx="146">
                  <c:v>5.8104973174542804</c:v>
                </c:pt>
                <c:pt idx="147">
                  <c:v>5.8420289512680812</c:v>
                </c:pt>
                <c:pt idx="148">
                  <c:v>5.8735384061671336</c:v>
                </c:pt>
                <c:pt idx="149">
                  <c:v>5.90502590656188</c:v>
                </c:pt>
                <c:pt idx="150">
                  <c:v>5.936491673103709</c:v>
                </c:pt>
                <c:pt idx="151">
                  <c:v>5.9679359227725453</c:v>
                </c:pt>
                <c:pt idx="152">
                  <c:v>5.9993588689617914</c:v>
                </c:pt>
                <c:pt idx="153">
                  <c:v>6.0307607215607959</c:v>
                </c:pt>
                <c:pt idx="154">
                  <c:v>6.0621416870348579</c:v>
                </c:pt>
                <c:pt idx="155">
                  <c:v>6.0935019685029532</c:v>
                </c:pt>
                <c:pt idx="156">
                  <c:v>6.1248417658131498</c:v>
                </c:pt>
                <c:pt idx="157">
                  <c:v>6.1561612756158937</c:v>
                </c:pt>
                <c:pt idx="158">
                  <c:v>6.1874606914351782</c:v>
                </c:pt>
                <c:pt idx="159">
                  <c:v>6.2187402037376893</c:v>
                </c:pt>
                <c:pt idx="160">
                  <c:v>6.25</c:v>
                </c:pt>
                <c:pt idx="161">
                  <c:v>6.2812402647738894</c:v>
                </c:pt>
                <c:pt idx="162">
                  <c:v>6.3124611797498105</c:v>
                </c:pt>
                <c:pt idx="163">
                  <c:v>6.3436629238186342</c:v>
                </c:pt>
                <c:pt idx="164">
                  <c:v>6.3748456731316576</c:v>
                </c:pt>
                <c:pt idx="165">
                  <c:v>6.4060096011589911</c:v>
                </c:pt>
                <c:pt idx="166">
                  <c:v>6.4371548787463366</c:v>
                </c:pt>
                <c:pt idx="167">
                  <c:v>6.4682816741702558</c:v>
                </c:pt>
                <c:pt idx="168">
                  <c:v>6.4993901531919205</c:v>
                </c:pt>
                <c:pt idx="169">
                  <c:v>6.5304804791094462</c:v>
                </c:pt>
                <c:pt idx="170">
                  <c:v>6.5615528128088307</c:v>
                </c:pt>
                <c:pt idx="171">
                  <c:v>6.5926073128135343</c:v>
                </c:pt>
                <c:pt idx="172">
                  <c:v>6.6236441353327713</c:v>
                </c:pt>
                <c:pt idx="173">
                  <c:v>6.6546634343085413</c:v>
                </c:pt>
                <c:pt idx="174">
                  <c:v>6.6856653614614201</c:v>
                </c:pt>
                <c:pt idx="175">
                  <c:v>6.7166500663351894</c:v>
                </c:pt>
                <c:pt idx="176">
                  <c:v>6.7476176963403036</c:v>
                </c:pt>
                <c:pt idx="177">
                  <c:v>6.7785683967962633</c:v>
                </c:pt>
                <c:pt idx="178">
                  <c:v>6.8095023109728983</c:v>
                </c:pt>
                <c:pt idx="179">
                  <c:v>6.840419580130618</c:v>
                </c:pt>
                <c:pt idx="180">
                  <c:v>6.8713203435596419</c:v>
                </c:pt>
                <c:pt idx="181">
                  <c:v>6.9022047386182646</c:v>
                </c:pt>
                <c:pt idx="182">
                  <c:v>6.9330729007701546</c:v>
                </c:pt>
                <c:pt idx="183">
                  <c:v>6.9639249636207445</c:v>
                </c:pt>
                <c:pt idx="184">
                  <c:v>6.9947610589527223</c:v>
                </c:pt>
                <c:pt idx="185">
                  <c:v>7.0255813167606567</c:v>
                </c:pt>
                <c:pt idx="186">
                  <c:v>7.056385865284784</c:v>
                </c:pt>
                <c:pt idx="187">
                  <c:v>7.0871748310439662</c:v>
                </c:pt>
                <c:pt idx="188">
                  <c:v>7.1179483388678797</c:v>
                </c:pt>
                <c:pt idx="189">
                  <c:v>7.1487065119284159</c:v>
                </c:pt>
                <c:pt idx="190">
                  <c:v>7.1794494717703383</c:v>
                </c:pt>
                <c:pt idx="191">
                  <c:v>7.2101773383412162</c:v>
                </c:pt>
                <c:pt idx="192">
                  <c:v>7.2408902300206632</c:v>
                </c:pt>
                <c:pt idx="193">
                  <c:v>7.2715882636488809</c:v>
                </c:pt>
                <c:pt idx="194">
                  <c:v>7.3022715545545243</c:v>
                </c:pt>
                <c:pt idx="195">
                  <c:v>7.3329402165819628</c:v>
                </c:pt>
                <c:pt idx="196">
                  <c:v>7.3635943621178654</c:v>
                </c:pt>
                <c:pt idx="197">
                  <c:v>7.394234102117216</c:v>
                </c:pt>
                <c:pt idx="198">
                  <c:v>7.4248595461287001</c:v>
                </c:pt>
                <c:pt idx="199">
                  <c:v>7.4554708023195468</c:v>
                </c:pt>
                <c:pt idx="200">
                  <c:v>7.4860679774997907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4-4E2C-AC90-EF490258F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23328"/>
        <c:axId val="1784196400"/>
      </c:lineChart>
      <c:catAx>
        <c:axId val="1684423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trike="noStrike"/>
                  <a:t>A</a:t>
                </a:r>
                <a:r>
                  <a:rPr lang="en-US" strike="noStrike" baseline="-25000"/>
                  <a:t>K,t</a:t>
                </a:r>
                <a:r>
                  <a:rPr lang="en-US" strike="noStrike" baseline="0"/>
                  <a:t>K</a:t>
                </a:r>
                <a:r>
                  <a:rPr lang="en-US" strike="noStrike" baseline="-25000"/>
                  <a:t>t</a:t>
                </a:r>
                <a:endParaRPr lang="en-US" strike="noStrik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784196400"/>
        <c:crosses val="autoZero"/>
        <c:auto val="1"/>
        <c:lblAlgn val="ctr"/>
        <c:lblOffset val="100"/>
        <c:tickMarkSkip val="10"/>
        <c:noMultiLvlLbl val="0"/>
      </c:catAx>
      <c:valAx>
        <c:axId val="1784196400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Y</a:t>
                </a:r>
                <a:r>
                  <a:rPr lang="en-US" baseline="-25000"/>
                  <a:t>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3888888888888888E-2"/>
              <c:y val="1.089785651793526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8442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044778493597386E-2"/>
          <c:y val="9.0332746235667921E-2"/>
          <c:w val="0.8754207428616877"/>
          <c:h val="0.80764464474835385"/>
        </c:manualLayout>
      </c:layout>
      <c:lineChart>
        <c:grouping val="standard"/>
        <c:varyColors val="0"/>
        <c:ser>
          <c:idx val="0"/>
          <c:order val="0"/>
          <c:tx>
            <c:v>sigma = 0.25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Figure12!$A$2:$A$102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Figure12!$B$2:$B$102</c:f>
              <c:numCache>
                <c:formatCode>General</c:formatCode>
                <c:ptCount val="101"/>
                <c:pt idx="0">
                  <c:v>1</c:v>
                </c:pt>
                <c:pt idx="1">
                  <c:v>1.0033557298479858</c:v>
                </c:pt>
                <c:pt idx="2">
                  <c:v>1.0067569617235559</c:v>
                </c:pt>
                <c:pt idx="3">
                  <c:v>1.0102047864498132</c:v>
                </c:pt>
                <c:pt idx="4">
                  <c:v>1.0137003325955667</c:v>
                </c:pt>
                <c:pt idx="5">
                  <c:v>1.017244768191101</c:v>
                </c:pt>
                <c:pt idx="6">
                  <c:v>1.020839302540953</c:v>
                </c:pt>
                <c:pt idx="7">
                  <c:v>1.0244851881402803</c:v>
                </c:pt>
                <c:pt idx="8">
                  <c:v>1.0281837227019262</c:v>
                </c:pt>
                <c:pt idx="9">
                  <c:v>1.0319362513018593</c:v>
                </c:pt>
                <c:pt idx="10">
                  <c:v>1.0357441686512863</c:v>
                </c:pt>
                <c:pt idx="11">
                  <c:v>1.0396089215044175</c:v>
                </c:pt>
                <c:pt idx="12">
                  <c:v>1.043532011211616</c:v>
                </c:pt>
                <c:pt idx="13">
                  <c:v>1.047514996428468</c:v>
                </c:pt>
                <c:pt idx="14">
                  <c:v>1.0515594959922205</c:v>
                </c:pt>
                <c:pt idx="15">
                  <c:v>1.0556671919780007</c:v>
                </c:pt>
                <c:pt idx="16">
                  <c:v>1.0598398329483265</c:v>
                </c:pt>
                <c:pt idx="17">
                  <c:v>1.0640792374105934</c:v>
                </c:pt>
                <c:pt idx="18">
                  <c:v>1.0683872974985422</c:v>
                </c:pt>
                <c:pt idx="19">
                  <c:v>1.0727659828951441</c:v>
                </c:pt>
                <c:pt idx="20">
                  <c:v>1.0772173450159419</c:v>
                </c:pt>
                <c:pt idx="21">
                  <c:v>1.0817435214736382</c:v>
                </c:pt>
                <c:pt idx="22">
                  <c:v>1.086346740846674</c:v>
                </c:pt>
                <c:pt idx="23">
                  <c:v>1.0910293277766918</c:v>
                </c:pt>
                <c:pt idx="24">
                  <c:v>1.0957937084221752</c:v>
                </c:pt>
                <c:pt idx="25">
                  <c:v>1.1006424162982089</c:v>
                </c:pt>
                <c:pt idx="26">
                  <c:v>1.105578098535263</c:v>
                </c:pt>
                <c:pt idx="27">
                  <c:v>1.1106035225931878</c:v>
                </c:pt>
                <c:pt idx="28">
                  <c:v>1.1157215834702825</c:v>
                </c:pt>
                <c:pt idx="29">
                  <c:v>1.1209353114513971</c:v>
                </c:pt>
                <c:pt idx="30">
                  <c:v>1.126247880443606</c:v>
                </c:pt>
                <c:pt idx="31">
                  <c:v>1.1316626169531356</c:v>
                </c:pt>
                <c:pt idx="32">
                  <c:v>1.1371830097629767</c:v>
                </c:pt>
                <c:pt idx="33">
                  <c:v>1.1428127203771021</c:v>
                </c:pt>
                <c:pt idx="34">
                  <c:v>1.1485555943044825</c:v>
                </c:pt>
                <c:pt idx="35">
                  <c:v>1.1544156732643194</c:v>
                </c:pt>
                <c:pt idx="36">
                  <c:v>1.1603972084031948</c:v>
                </c:pt>
                <c:pt idx="37">
                  <c:v>1.166504674625336</c:v>
                </c:pt>
                <c:pt idx="38">
                  <c:v>1.1727427861491087</c:v>
                </c:pt>
                <c:pt idx="39">
                  <c:v>1.1791165134163655</c:v>
                </c:pt>
                <c:pt idx="40">
                  <c:v>1.1856311014966876</c:v>
                </c:pt>
                <c:pt idx="41">
                  <c:v>1.1922920901460929</c:v>
                </c:pt>
                <c:pt idx="42">
                  <c:v>1.1991053356998698</c:v>
                </c:pt>
                <c:pt idx="43">
                  <c:v>1.2060770350021577</c:v>
                </c:pt>
                <c:pt idx="44">
                  <c:v>1.2132137516012933</c:v>
                </c:pt>
                <c:pt idx="45">
                  <c:v>1.2205224444702849</c:v>
                </c:pt>
                <c:pt idx="46">
                  <c:v>1.2280104995467955</c:v>
                </c:pt>
                <c:pt idx="47">
                  <c:v>1.2356857644274959</c:v>
                </c:pt>
                <c:pt idx="48">
                  <c:v>1.2435565865985811</c:v>
                </c:pt>
                <c:pt idx="49">
                  <c:v>1.2516318556387922</c:v>
                </c:pt>
                <c:pt idx="50">
                  <c:v>1.2599210498948732</c:v>
                </c:pt>
                <c:pt idx="51">
                  <c:v>1.2684342882037154</c:v>
                </c:pt>
                <c:pt idx="52">
                  <c:v>1.2771823873225885</c:v>
                </c:pt>
                <c:pt idx="53">
                  <c:v>1.2861769258313476</c:v>
                </c:pt>
                <c:pt idx="54">
                  <c:v>1.2954303153914299</c:v>
                </c:pt>
                <c:pt idx="55">
                  <c:v>1.3049558803896211</c:v>
                </c:pt>
                <c:pt idx="56">
                  <c:v>1.3147679471646476</c:v>
                </c:pt>
                <c:pt idx="57">
                  <c:v>1.324881944217442</c:v>
                </c:pt>
                <c:pt idx="58">
                  <c:v>1.3353145150486625</c:v>
                </c:pt>
                <c:pt idx="59">
                  <c:v>1.3460836455587095</c:v>
                </c:pt>
                <c:pt idx="60">
                  <c:v>1.3572088082974534</c:v>
                </c:pt>
                <c:pt idx="61">
                  <c:v>1.3687111262774152</c:v>
                </c:pt>
                <c:pt idx="62">
                  <c:v>1.3806135595834632</c:v>
                </c:pt>
                <c:pt idx="63">
                  <c:v>1.3929411186473262</c:v>
                </c:pt>
                <c:pt idx="64">
                  <c:v>1.4057211088362487</c:v>
                </c:pt>
                <c:pt idx="65">
                  <c:v>1.4189834119703837</c:v>
                </c:pt>
                <c:pt idx="66">
                  <c:v>1.4327608115831811</c:v>
                </c:pt>
                <c:pt idx="67">
                  <c:v>1.4470893702387337</c:v>
                </c:pt>
                <c:pt idx="68">
                  <c:v>1.462008869106433</c:v>
                </c:pt>
                <c:pt idx="69">
                  <c:v>1.4775633223816234</c:v>
                </c:pt>
                <c:pt idx="70">
                  <c:v>1.4938015821857216</c:v>
                </c:pt>
                <c:pt idx="71">
                  <c:v>1.5107780534895243</c:v>
                </c:pt>
                <c:pt idx="72">
                  <c:v>1.5285535436643991</c:v>
                </c:pt>
                <c:pt idx="73">
                  <c:v>1.5471962778709263</c:v>
                </c:pt>
                <c:pt idx="74">
                  <c:v>1.566783120190969</c:v>
                </c:pt>
                <c:pt idx="75">
                  <c:v>1.5874010519681994</c:v>
                </c:pt>
                <c:pt idx="76">
                  <c:v>1.6091489743427163</c:v>
                </c:pt>
                <c:pt idx="77">
                  <c:v>1.6321399230336171</c:v>
                </c:pt>
                <c:pt idx="78">
                  <c:v>1.6565038123598099</c:v>
                </c:pt>
                <c:pt idx="79">
                  <c:v>1.6823908657399742</c:v>
                </c:pt>
                <c:pt idx="80">
                  <c:v>1.7099759466766971</c:v>
                </c:pt>
                <c:pt idx="81">
                  <c:v>1.7394640854894952</c:v>
                </c:pt>
                <c:pt idx="82">
                  <c:v>1.7710976153043516</c:v>
                </c:pt>
                <c:pt idx="83">
                  <c:v>1.805165505978112</c:v>
                </c:pt>
                <c:pt idx="84">
                  <c:v>1.8420157493201932</c:v>
                </c:pt>
                <c:pt idx="85">
                  <c:v>1.8820720577620569</c:v>
                </c:pt>
                <c:pt idx="86">
                  <c:v>1.9258567855541788</c:v>
                </c:pt>
                <c:pt idx="87">
                  <c:v>1.9740230337485711</c:v>
                </c:pt>
                <c:pt idx="88">
                  <c:v>2.0274006651911334</c:v>
                </c:pt>
                <c:pt idx="89">
                  <c:v>2.087064022423232</c:v>
                </c:pt>
                <c:pt idx="90">
                  <c:v>2.1544346900318838</c:v>
                </c:pt>
                <c:pt idx="91">
                  <c:v>2.231443166940565</c:v>
                </c:pt>
                <c:pt idx="92">
                  <c:v>2.3207944168063896</c:v>
                </c:pt>
                <c:pt idx="93">
                  <c:v>2.426427503202587</c:v>
                </c:pt>
                <c:pt idx="94">
                  <c:v>2.5543647746451761</c:v>
                </c:pt>
                <c:pt idx="95">
                  <c:v>2.7144176165949054</c:v>
                </c:pt>
                <c:pt idx="96">
                  <c:v>2.9240177382128647</c:v>
                </c:pt>
                <c:pt idx="97">
                  <c:v>3.2182979486854313</c:v>
                </c:pt>
                <c:pt idx="98">
                  <c:v>3.684031498640385</c:v>
                </c:pt>
                <c:pt idx="99">
                  <c:v>4.6415888336127775</c:v>
                </c:pt>
                <c:pt idx="100">
                  <c:v>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7A-47EC-931A-42B3A88EA4C1}"/>
            </c:ext>
          </c:extLst>
        </c:ser>
        <c:ser>
          <c:idx val="1"/>
          <c:order val="1"/>
          <c:tx>
            <c:v>sigma =0.5</c:v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Figure12!$C$2:$C$102</c:f>
              <c:numCache>
                <c:formatCode>General</c:formatCode>
                <c:ptCount val="101"/>
                <c:pt idx="0">
                  <c:v>1</c:v>
                </c:pt>
                <c:pt idx="1">
                  <c:v>1.0101010101010102</c:v>
                </c:pt>
                <c:pt idx="2">
                  <c:v>1.0204081632653061</c:v>
                </c:pt>
                <c:pt idx="3">
                  <c:v>1.0309278350515465</c:v>
                </c:pt>
                <c:pt idx="4">
                  <c:v>1.0416666666666667</c:v>
                </c:pt>
                <c:pt idx="5">
                  <c:v>1.0526315789473684</c:v>
                </c:pt>
                <c:pt idx="6">
                  <c:v>1.0638297872340425</c:v>
                </c:pt>
                <c:pt idx="7">
                  <c:v>1.0752688172043012</c:v>
                </c:pt>
                <c:pt idx="8">
                  <c:v>1.0869565217391304</c:v>
                </c:pt>
                <c:pt idx="9">
                  <c:v>1.0989010989010988</c:v>
                </c:pt>
                <c:pt idx="10">
                  <c:v>1.1111111111111112</c:v>
                </c:pt>
                <c:pt idx="11">
                  <c:v>1.1235955056179776</c:v>
                </c:pt>
                <c:pt idx="12">
                  <c:v>1.1363636363636365</c:v>
                </c:pt>
                <c:pt idx="13">
                  <c:v>1.1494252873563218</c:v>
                </c:pt>
                <c:pt idx="14">
                  <c:v>1.1627906976744187</c:v>
                </c:pt>
                <c:pt idx="15">
                  <c:v>1.1764705882352942</c:v>
                </c:pt>
                <c:pt idx="16">
                  <c:v>1.1904761904761905</c:v>
                </c:pt>
                <c:pt idx="17">
                  <c:v>1.2048192771084338</c:v>
                </c:pt>
                <c:pt idx="18">
                  <c:v>1.2195121951219512</c:v>
                </c:pt>
                <c:pt idx="19">
                  <c:v>1.2345679012345678</c:v>
                </c:pt>
                <c:pt idx="20">
                  <c:v>1.25</c:v>
                </c:pt>
                <c:pt idx="21">
                  <c:v>1.2658227848101264</c:v>
                </c:pt>
                <c:pt idx="22">
                  <c:v>1.2820512820512819</c:v>
                </c:pt>
                <c:pt idx="23">
                  <c:v>1.2987012987012987</c:v>
                </c:pt>
                <c:pt idx="24">
                  <c:v>1.3157894736842106</c:v>
                </c:pt>
                <c:pt idx="25">
                  <c:v>1.3333333333333333</c:v>
                </c:pt>
                <c:pt idx="26">
                  <c:v>1.3513513513513513</c:v>
                </c:pt>
                <c:pt idx="27">
                  <c:v>1.3698630136986301</c:v>
                </c:pt>
                <c:pt idx="28">
                  <c:v>1.3888888888888888</c:v>
                </c:pt>
                <c:pt idx="29">
                  <c:v>1.4084507042253522</c:v>
                </c:pt>
                <c:pt idx="30">
                  <c:v>1.4285714285714286</c:v>
                </c:pt>
                <c:pt idx="31">
                  <c:v>1.4492753623188408</c:v>
                </c:pt>
                <c:pt idx="32">
                  <c:v>1.4705882352941178</c:v>
                </c:pt>
                <c:pt idx="33">
                  <c:v>1.4925373134328359</c:v>
                </c:pt>
                <c:pt idx="34">
                  <c:v>1.5151515151515154</c:v>
                </c:pt>
                <c:pt idx="35">
                  <c:v>1.5384615384615383</c:v>
                </c:pt>
                <c:pt idx="36">
                  <c:v>1.5625</c:v>
                </c:pt>
                <c:pt idx="37">
                  <c:v>1.5873015873015872</c:v>
                </c:pt>
                <c:pt idx="38">
                  <c:v>1.6129032258064517</c:v>
                </c:pt>
                <c:pt idx="39">
                  <c:v>1.639344262295082</c:v>
                </c:pt>
                <c:pt idx="40">
                  <c:v>1.6666666666666667</c:v>
                </c:pt>
                <c:pt idx="41">
                  <c:v>1.6949152542372878</c:v>
                </c:pt>
                <c:pt idx="42">
                  <c:v>1.7241379310344827</c:v>
                </c:pt>
                <c:pt idx="43">
                  <c:v>1.7543859649122806</c:v>
                </c:pt>
                <c:pt idx="44">
                  <c:v>1.7857142857142856</c:v>
                </c:pt>
                <c:pt idx="45">
                  <c:v>1.8181818181818181</c:v>
                </c:pt>
                <c:pt idx="46">
                  <c:v>1.8518518518518516</c:v>
                </c:pt>
                <c:pt idx="47">
                  <c:v>1.8867924528301885</c:v>
                </c:pt>
                <c:pt idx="48">
                  <c:v>1.9230769230769229</c:v>
                </c:pt>
                <c:pt idx="49">
                  <c:v>1.9607843137254901</c:v>
                </c:pt>
                <c:pt idx="50">
                  <c:v>2</c:v>
                </c:pt>
                <c:pt idx="51">
                  <c:v>2.0408163265306123</c:v>
                </c:pt>
                <c:pt idx="52">
                  <c:v>2.0833333333333335</c:v>
                </c:pt>
                <c:pt idx="53">
                  <c:v>2.1276595744680851</c:v>
                </c:pt>
                <c:pt idx="54">
                  <c:v>2.1739130434782612</c:v>
                </c:pt>
                <c:pt idx="55">
                  <c:v>2.2222222222222223</c:v>
                </c:pt>
                <c:pt idx="56">
                  <c:v>2.2727272727272729</c:v>
                </c:pt>
                <c:pt idx="57">
                  <c:v>2.3255813953488369</c:v>
                </c:pt>
                <c:pt idx="58">
                  <c:v>2.3809523809523809</c:v>
                </c:pt>
                <c:pt idx="59">
                  <c:v>2.4390243902439024</c:v>
                </c:pt>
                <c:pt idx="60">
                  <c:v>2.5</c:v>
                </c:pt>
                <c:pt idx="61">
                  <c:v>2.5641025641025639</c:v>
                </c:pt>
                <c:pt idx="62">
                  <c:v>2.6315789473684212</c:v>
                </c:pt>
                <c:pt idx="63">
                  <c:v>2.7027027027027026</c:v>
                </c:pt>
                <c:pt idx="64">
                  <c:v>2.7777777777777777</c:v>
                </c:pt>
                <c:pt idx="65">
                  <c:v>2.8571428571428572</c:v>
                </c:pt>
                <c:pt idx="66">
                  <c:v>2.9411764705882355</c:v>
                </c:pt>
                <c:pt idx="67">
                  <c:v>3.0303030303030307</c:v>
                </c:pt>
                <c:pt idx="68">
                  <c:v>3.1250000000000004</c:v>
                </c:pt>
                <c:pt idx="69">
                  <c:v>3.2258064516129026</c:v>
                </c:pt>
                <c:pt idx="70">
                  <c:v>3.333333333333333</c:v>
                </c:pt>
                <c:pt idx="71">
                  <c:v>3.4482758620689653</c:v>
                </c:pt>
                <c:pt idx="72">
                  <c:v>3.5714285714285712</c:v>
                </c:pt>
                <c:pt idx="73">
                  <c:v>3.7037037037037033</c:v>
                </c:pt>
                <c:pt idx="74">
                  <c:v>3.8461538461538458</c:v>
                </c:pt>
                <c:pt idx="75">
                  <c:v>4</c:v>
                </c:pt>
                <c:pt idx="76">
                  <c:v>4.166666666666667</c:v>
                </c:pt>
                <c:pt idx="77">
                  <c:v>4.3478260869565224</c:v>
                </c:pt>
                <c:pt idx="78">
                  <c:v>4.5454545454545459</c:v>
                </c:pt>
                <c:pt idx="79">
                  <c:v>4.7619047619047628</c:v>
                </c:pt>
                <c:pt idx="80">
                  <c:v>5.0000000000000009</c:v>
                </c:pt>
                <c:pt idx="81">
                  <c:v>5.2631578947368434</c:v>
                </c:pt>
                <c:pt idx="82">
                  <c:v>5.5555555555555545</c:v>
                </c:pt>
                <c:pt idx="83">
                  <c:v>5.8823529411764692</c:v>
                </c:pt>
                <c:pt idx="84">
                  <c:v>6.2499999999999991</c:v>
                </c:pt>
                <c:pt idx="85">
                  <c:v>6.6666666666666661</c:v>
                </c:pt>
                <c:pt idx="86">
                  <c:v>7.1428571428571423</c:v>
                </c:pt>
                <c:pt idx="87">
                  <c:v>7.6923076923076916</c:v>
                </c:pt>
                <c:pt idx="88">
                  <c:v>8.3333333333333339</c:v>
                </c:pt>
                <c:pt idx="89">
                  <c:v>9.0909090909090917</c:v>
                </c:pt>
                <c:pt idx="90">
                  <c:v>10.000000000000002</c:v>
                </c:pt>
                <c:pt idx="91">
                  <c:v>11.111111111111114</c:v>
                </c:pt>
                <c:pt idx="92">
                  <c:v>12.500000000000007</c:v>
                </c:pt>
                <c:pt idx="93">
                  <c:v>14.285714285714295</c:v>
                </c:pt>
                <c:pt idx="94">
                  <c:v>16.66666666666665</c:v>
                </c:pt>
                <c:pt idx="95">
                  <c:v>19.999999999999982</c:v>
                </c:pt>
                <c:pt idx="96">
                  <c:v>24.999999999999979</c:v>
                </c:pt>
                <c:pt idx="97">
                  <c:v>33.3333333333333</c:v>
                </c:pt>
                <c:pt idx="98">
                  <c:v>49.999999999999957</c:v>
                </c:pt>
                <c:pt idx="99">
                  <c:v>99.999999999999915</c:v>
                </c:pt>
                <c:pt idx="100">
                  <c:v>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7A-47EC-931A-42B3A88EA4C1}"/>
            </c:ext>
          </c:extLst>
        </c:ser>
        <c:ser>
          <c:idx val="2"/>
          <c:order val="2"/>
          <c:tx>
            <c:v>sigma = 0.75</c:v>
          </c:tx>
          <c:spPr>
            <a:ln w="28575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Figure12!$D$2:$D$102</c:f>
              <c:numCache>
                <c:formatCode>General</c:formatCode>
                <c:ptCount val="101"/>
                <c:pt idx="0">
                  <c:v>1</c:v>
                </c:pt>
                <c:pt idx="1">
                  <c:v>1.0306101521283648</c:v>
                </c:pt>
                <c:pt idx="2">
                  <c:v>1.0624824690392609</c:v>
                </c:pt>
                <c:pt idx="3">
                  <c:v>1.0956826815299678</c:v>
                </c:pt>
                <c:pt idx="4">
                  <c:v>1.1302806712962965</c:v>
                </c:pt>
                <c:pt idx="5">
                  <c:v>1.1663507799970838</c:v>
                </c:pt>
                <c:pt idx="6">
                  <c:v>1.2039721449004555</c:v>
                </c:pt>
                <c:pt idx="7">
                  <c:v>1.2432290637117605</c:v>
                </c:pt>
                <c:pt idx="8">
                  <c:v>1.2842113914687268</c:v>
                </c:pt>
                <c:pt idx="9">
                  <c:v>1.3270149727099367</c:v>
                </c:pt>
                <c:pt idx="10">
                  <c:v>1.3717421124828535</c:v>
                </c:pt>
                <c:pt idx="11">
                  <c:v>1.41850209016283</c:v>
                </c:pt>
                <c:pt idx="12">
                  <c:v>1.4674117205108945</c:v>
                </c:pt>
                <c:pt idx="13">
                  <c:v>1.5185959669128308</c:v>
                </c:pt>
                <c:pt idx="14">
                  <c:v>1.5721886123234434</c:v>
                </c:pt>
                <c:pt idx="15">
                  <c:v>1.628332994097293</c:v>
                </c:pt>
                <c:pt idx="16">
                  <c:v>1.6871828096317891</c:v>
                </c:pt>
                <c:pt idx="17">
                  <c:v>1.7489030005928787</c:v>
                </c:pt>
                <c:pt idx="18">
                  <c:v>1.8136707244526342</c:v>
                </c:pt>
                <c:pt idx="19">
                  <c:v>1.8816764231589203</c:v>
                </c:pt>
                <c:pt idx="20">
                  <c:v>1.953125</c:v>
                </c:pt>
                <c:pt idx="21">
                  <c:v>2.0282371171448905</c:v>
                </c:pt>
                <c:pt idx="22">
                  <c:v>2.1072506279606866</c:v>
                </c:pt>
                <c:pt idx="23">
                  <c:v>2.190422160062909</c:v>
                </c:pt>
                <c:pt idx="24">
                  <c:v>2.2780288671818054</c:v>
                </c:pt>
                <c:pt idx="25">
                  <c:v>2.3703703703703702</c:v>
                </c:pt>
                <c:pt idx="26">
                  <c:v>2.4677709118907072</c:v>
                </c:pt>
                <c:pt idx="27">
                  <c:v>2.5705817483554698</c:v>
                </c:pt>
                <c:pt idx="28">
                  <c:v>2.6791838134430725</c:v>
                </c:pt>
                <c:pt idx="29">
                  <c:v>2.7939906848350575</c:v>
                </c:pt>
                <c:pt idx="30">
                  <c:v>2.915451895043732</c:v>
                </c:pt>
                <c:pt idx="31">
                  <c:v>3.0440566316295761</c:v>
                </c:pt>
                <c:pt idx="32">
                  <c:v>3.180337879096276</c:v>
                </c:pt>
                <c:pt idx="33">
                  <c:v>3.3248770626706081</c:v>
                </c:pt>
                <c:pt idx="34">
                  <c:v>3.478309263433232</c:v>
                </c:pt>
                <c:pt idx="35">
                  <c:v>3.6413290851160665</c:v>
                </c:pt>
                <c:pt idx="36">
                  <c:v>3.814697265625</c:v>
                </c:pt>
                <c:pt idx="37">
                  <c:v>3.9992481413494256</c:v>
                </c:pt>
                <c:pt idx="38">
                  <c:v>4.1958980900271907</c:v>
                </c:pt>
                <c:pt idx="39">
                  <c:v>4.405655098884929</c:v>
                </c:pt>
                <c:pt idx="40">
                  <c:v>4.6296296296296306</c:v>
                </c:pt>
                <c:pt idx="41">
                  <c:v>4.8690469814343214</c:v>
                </c:pt>
                <c:pt idx="42">
                  <c:v>5.125261388330804</c:v>
                </c:pt>
                <c:pt idx="43">
                  <c:v>5.399772129616129</c:v>
                </c:pt>
                <c:pt idx="44">
                  <c:v>5.6942419825072879</c:v>
                </c:pt>
                <c:pt idx="45">
                  <c:v>6.0105184072126212</c:v>
                </c:pt>
                <c:pt idx="46">
                  <c:v>6.3506579281613558</c:v>
                </c:pt>
                <c:pt idx="47">
                  <c:v>6.7169542642584119</c:v>
                </c:pt>
                <c:pt idx="48">
                  <c:v>7.1119708693673171</c:v>
                </c:pt>
                <c:pt idx="49">
                  <c:v>7.5385786763763551</c:v>
                </c:pt>
                <c:pt idx="50">
                  <c:v>8</c:v>
                </c:pt>
                <c:pt idx="51">
                  <c:v>8.4998597523140873</c:v>
                </c:pt>
                <c:pt idx="52">
                  <c:v>9.042245370370372</c:v>
                </c:pt>
                <c:pt idx="53">
                  <c:v>9.6317771592036436</c:v>
                </c:pt>
                <c:pt idx="54">
                  <c:v>10.273691131749819</c:v>
                </c:pt>
                <c:pt idx="55">
                  <c:v>10.973936899862828</c:v>
                </c:pt>
                <c:pt idx="56">
                  <c:v>11.739293764087156</c:v>
                </c:pt>
                <c:pt idx="57">
                  <c:v>12.57750889858754</c:v>
                </c:pt>
                <c:pt idx="58">
                  <c:v>13.497462477054313</c:v>
                </c:pt>
                <c:pt idx="59">
                  <c:v>14.509365795621074</c:v>
                </c:pt>
                <c:pt idx="60">
                  <c:v>15.625</c:v>
                </c:pt>
                <c:pt idx="61">
                  <c:v>16.858005023685493</c:v>
                </c:pt>
                <c:pt idx="62">
                  <c:v>18.224230937454443</c:v>
                </c:pt>
                <c:pt idx="63">
                  <c:v>19.742167295125657</c:v>
                </c:pt>
                <c:pt idx="64">
                  <c:v>21.43347050754458</c:v>
                </c:pt>
                <c:pt idx="65">
                  <c:v>23.323615160349856</c:v>
                </c:pt>
                <c:pt idx="66">
                  <c:v>25.442703032770208</c:v>
                </c:pt>
                <c:pt idx="67">
                  <c:v>27.826474107465856</c:v>
                </c:pt>
                <c:pt idx="68">
                  <c:v>30.517578125000014</c:v>
                </c:pt>
                <c:pt idx="69">
                  <c:v>33.567184720217497</c:v>
                </c:pt>
                <c:pt idx="70">
                  <c:v>37.037037037037024</c:v>
                </c:pt>
                <c:pt idx="71">
                  <c:v>41.002091106646432</c:v>
                </c:pt>
                <c:pt idx="72">
                  <c:v>45.553935860058303</c:v>
                </c:pt>
                <c:pt idx="73">
                  <c:v>50.805263425290846</c:v>
                </c:pt>
                <c:pt idx="74">
                  <c:v>56.895766954938537</c:v>
                </c:pt>
                <c:pt idx="75">
                  <c:v>64</c:v>
                </c:pt>
                <c:pt idx="76">
                  <c:v>72.337962962962976</c:v>
                </c:pt>
                <c:pt idx="77">
                  <c:v>82.189529053998555</c:v>
                </c:pt>
                <c:pt idx="78">
                  <c:v>93.91435011269725</c:v>
                </c:pt>
                <c:pt idx="79">
                  <c:v>107.97969981643458</c:v>
                </c:pt>
                <c:pt idx="80">
                  <c:v>125.00000000000006</c:v>
                </c:pt>
                <c:pt idx="81">
                  <c:v>145.7938474996356</c:v>
                </c:pt>
                <c:pt idx="82">
                  <c:v>171.46776406035656</c:v>
                </c:pt>
                <c:pt idx="83">
                  <c:v>203.54162426216149</c:v>
                </c:pt>
                <c:pt idx="84">
                  <c:v>244.14062499999989</c:v>
                </c:pt>
                <c:pt idx="85">
                  <c:v>296.29629629629619</c:v>
                </c:pt>
                <c:pt idx="86">
                  <c:v>364.43148688046642</c:v>
                </c:pt>
                <c:pt idx="87">
                  <c:v>455.1661356395083</c:v>
                </c:pt>
                <c:pt idx="88">
                  <c:v>578.70370370370381</c:v>
                </c:pt>
                <c:pt idx="89">
                  <c:v>751.314800901578</c:v>
                </c:pt>
                <c:pt idx="90">
                  <c:v>1000.0000000000005</c:v>
                </c:pt>
                <c:pt idx="91">
                  <c:v>1371.7421124828543</c:v>
                </c:pt>
                <c:pt idx="92">
                  <c:v>1953.1250000000032</c:v>
                </c:pt>
                <c:pt idx="93">
                  <c:v>2915.4518950437377</c:v>
                </c:pt>
                <c:pt idx="94">
                  <c:v>4629.629629629615</c:v>
                </c:pt>
                <c:pt idx="95">
                  <c:v>7999.9999999999791</c:v>
                </c:pt>
                <c:pt idx="96">
                  <c:v>15624.999999999962</c:v>
                </c:pt>
                <c:pt idx="97">
                  <c:v>37037.03703703692</c:v>
                </c:pt>
                <c:pt idx="98">
                  <c:v>124999.99999999969</c:v>
                </c:pt>
                <c:pt idx="99">
                  <c:v>999999.99999999756</c:v>
                </c:pt>
                <c:pt idx="100">
                  <c:v>10000000000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7A-47EC-931A-42B3A88EA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0027984"/>
        <c:axId val="1784273680"/>
      </c:lineChart>
      <c:catAx>
        <c:axId val="1780027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s</a:t>
                </a:r>
                <a:r>
                  <a:rPr lang="en-US" baseline="-25000"/>
                  <a:t>K,t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784273680"/>
        <c:crosses val="autoZero"/>
        <c:auto val="1"/>
        <c:lblAlgn val="ctr"/>
        <c:lblOffset val="100"/>
        <c:tickLblSkip val="20"/>
        <c:noMultiLvlLbl val="0"/>
      </c:catAx>
      <c:valAx>
        <c:axId val="1784273680"/>
        <c:scaling>
          <c:logBase val="2"/>
          <c:orientation val="minMax"/>
          <c:max val="8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Factor Increase in Output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78002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972142686709623E-2"/>
          <c:y val="7.6229739374683428E-2"/>
          <c:w val="0.23613715899148971"/>
          <c:h val="0.156750759773449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961544579654799E-2"/>
          <c:y val="7.936783395496616E-2"/>
          <c:w val="0.90026067764256745"/>
          <c:h val="0.7899730050191095"/>
        </c:manualLayout>
      </c:layout>
      <c:lineChart>
        <c:grouping val="standard"/>
        <c:varyColors val="0"/>
        <c:ser>
          <c:idx val="0"/>
          <c:order val="0"/>
          <c:tx>
            <c:v>Agriculture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Figure13!$A$2:$A$18</c:f>
              <c:numCache>
                <c:formatCode>General</c:formatCode>
                <c:ptCount val="17"/>
                <c:pt idx="0">
                  <c:v>1850</c:v>
                </c:pt>
                <c:pt idx="1">
                  <c:v>1860</c:v>
                </c:pt>
                <c:pt idx="2">
                  <c:v>1870</c:v>
                </c:pt>
                <c:pt idx="3">
                  <c:v>1880</c:v>
                </c:pt>
                <c:pt idx="4">
                  <c:v>1900</c:v>
                </c:pt>
                <c:pt idx="5">
                  <c:v>1910</c:v>
                </c:pt>
                <c:pt idx="6">
                  <c:v>1920</c:v>
                </c:pt>
                <c:pt idx="7">
                  <c:v>1930</c:v>
                </c:pt>
                <c:pt idx="8">
                  <c:v>1940</c:v>
                </c:pt>
                <c:pt idx="9">
                  <c:v>1950</c:v>
                </c:pt>
                <c:pt idx="10">
                  <c:v>1960</c:v>
                </c:pt>
                <c:pt idx="11">
                  <c:v>1970</c:v>
                </c:pt>
                <c:pt idx="12">
                  <c:v>1980</c:v>
                </c:pt>
                <c:pt idx="13">
                  <c:v>1990</c:v>
                </c:pt>
                <c:pt idx="14">
                  <c:v>2000</c:v>
                </c:pt>
                <c:pt idx="15">
                  <c:v>2010</c:v>
                </c:pt>
                <c:pt idx="16">
                  <c:v>2018</c:v>
                </c:pt>
              </c:numCache>
            </c:numRef>
          </c:cat>
          <c:val>
            <c:numRef>
              <c:f>Figure13!$B$2:$B$18</c:f>
              <c:numCache>
                <c:formatCode>General</c:formatCode>
                <c:ptCount val="17"/>
                <c:pt idx="0">
                  <c:v>57.819235324859619</c:v>
                </c:pt>
                <c:pt idx="1">
                  <c:v>46.236312389373779</c:v>
                </c:pt>
                <c:pt idx="2">
                  <c:v>52.39112377166748</c:v>
                </c:pt>
                <c:pt idx="3">
                  <c:v>47.245791554450989</c:v>
                </c:pt>
                <c:pt idx="4">
                  <c:v>45.154058933258057</c:v>
                </c:pt>
                <c:pt idx="5">
                  <c:v>36.750513315200806</c:v>
                </c:pt>
                <c:pt idx="6">
                  <c:v>32.173064351081848</c:v>
                </c:pt>
                <c:pt idx="7">
                  <c:v>26.041856408119202</c:v>
                </c:pt>
                <c:pt idx="8">
                  <c:v>18.229062855243683</c:v>
                </c:pt>
                <c:pt idx="9">
                  <c:v>12.103493511676788</c:v>
                </c:pt>
                <c:pt idx="10">
                  <c:v>6.7470505833625793</c:v>
                </c:pt>
                <c:pt idx="11">
                  <c:v>3.6652974784374237</c:v>
                </c:pt>
                <c:pt idx="12">
                  <c:v>2.9561722651124001</c:v>
                </c:pt>
                <c:pt idx="13">
                  <c:v>2.709398977458477</c:v>
                </c:pt>
                <c:pt idx="14">
                  <c:v>2.2298421710729599</c:v>
                </c:pt>
                <c:pt idx="15">
                  <c:v>2.4275433272123337</c:v>
                </c:pt>
                <c:pt idx="16">
                  <c:v>2.356322854757309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D0-45EB-9440-31F009284167}"/>
            </c:ext>
          </c:extLst>
        </c:ser>
        <c:ser>
          <c:idx val="1"/>
          <c:order val="1"/>
          <c:tx>
            <c:v>Manufacturing</c:v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Figure13!$S$2:$S$18</c:f>
              <c:numCache>
                <c:formatCode>General</c:formatCode>
                <c:ptCount val="17"/>
                <c:pt idx="0">
                  <c:v>14.24071416258812</c:v>
                </c:pt>
                <c:pt idx="1">
                  <c:v>12.460075318813324</c:v>
                </c:pt>
                <c:pt idx="2">
                  <c:v>11.88003271818161</c:v>
                </c:pt>
                <c:pt idx="3">
                  <c:v>13.454792648553848</c:v>
                </c:pt>
                <c:pt idx="4">
                  <c:v>12.653639540076256</c:v>
                </c:pt>
                <c:pt idx="5">
                  <c:v>15.954935550689697</c:v>
                </c:pt>
                <c:pt idx="6">
                  <c:v>19.586332142353058</c:v>
                </c:pt>
                <c:pt idx="7">
                  <c:v>18.549373000860214</c:v>
                </c:pt>
                <c:pt idx="8">
                  <c:v>22.812043130397797</c:v>
                </c:pt>
                <c:pt idx="9">
                  <c:v>26.098918914794922</c:v>
                </c:pt>
                <c:pt idx="10">
                  <c:v>27.694908529520035</c:v>
                </c:pt>
                <c:pt idx="11">
                  <c:v>25.373708456754684</c:v>
                </c:pt>
                <c:pt idx="12">
                  <c:v>22.359887510538101</c:v>
                </c:pt>
                <c:pt idx="13">
                  <c:v>17.522423714399338</c:v>
                </c:pt>
                <c:pt idx="14">
                  <c:v>14.607533812522888</c:v>
                </c:pt>
                <c:pt idx="15">
                  <c:v>10.870356112718582</c:v>
                </c:pt>
                <c:pt idx="16">
                  <c:v>10.112689808011055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D0-45EB-9440-31F009284167}"/>
            </c:ext>
          </c:extLst>
        </c:ser>
        <c:ser>
          <c:idx val="2"/>
          <c:order val="2"/>
          <c:tx>
            <c:v>Professional Services</c:v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Figure13!$U$2:$U$18</c:f>
              <c:numCache>
                <c:formatCode>General</c:formatCode>
                <c:ptCount val="17"/>
                <c:pt idx="0">
                  <c:v>3.0806227819994092</c:v>
                </c:pt>
                <c:pt idx="1">
                  <c:v>4.3096759589388967</c:v>
                </c:pt>
                <c:pt idx="2">
                  <c:v>3.557201474905014</c:v>
                </c:pt>
                <c:pt idx="3">
                  <c:v>4.3060583062469959</c:v>
                </c:pt>
                <c:pt idx="4">
                  <c:v>5.3830679506063461</c:v>
                </c:pt>
                <c:pt idx="5">
                  <c:v>5.753682367503643</c:v>
                </c:pt>
                <c:pt idx="6">
                  <c:v>6.8761678412556648</c:v>
                </c:pt>
                <c:pt idx="7">
                  <c:v>9.6167623996734619</c:v>
                </c:pt>
                <c:pt idx="8">
                  <c:v>10.242199897766113</c:v>
                </c:pt>
                <c:pt idx="9">
                  <c:v>11.42464391887188</c:v>
                </c:pt>
                <c:pt idx="10">
                  <c:v>15.42033813893795</c:v>
                </c:pt>
                <c:pt idx="11">
                  <c:v>21.276897564530373</c:v>
                </c:pt>
                <c:pt idx="12">
                  <c:v>24.769829958677292</c:v>
                </c:pt>
                <c:pt idx="13">
                  <c:v>27.523360401391983</c:v>
                </c:pt>
                <c:pt idx="14">
                  <c:v>30.081237852573395</c:v>
                </c:pt>
                <c:pt idx="15">
                  <c:v>33.181862533092499</c:v>
                </c:pt>
                <c:pt idx="16">
                  <c:v>33.758381009101868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D0-45EB-9440-31F009284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9166384"/>
        <c:axId val="1819163984"/>
      </c:lineChart>
      <c:catAx>
        <c:axId val="181916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819163984"/>
        <c:crosses val="autoZero"/>
        <c:auto val="1"/>
        <c:lblAlgn val="ctr"/>
        <c:lblOffset val="100"/>
        <c:noMultiLvlLbl val="0"/>
      </c:catAx>
      <c:valAx>
        <c:axId val="1819163984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1.2626262626262626E-2"/>
              <c:y val="2.4980430077819218E-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81916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151395848246239"/>
          <c:y val="5.7954885573513831E-2"/>
          <c:w val="0.33060725363874971"/>
          <c:h val="0.175025613574618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15684403085986E-2"/>
          <c:y val="9.3987716995901832E-2"/>
          <c:w val="0.87860653781913622"/>
          <c:h val="0.7229103352212552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Figure14!$B$2:$B$17</c:f>
              <c:strCache>
                <c:ptCount val="16"/>
                <c:pt idx="0">
                  <c:v>1850s</c:v>
                </c:pt>
                <c:pt idx="1">
                  <c:v>1860s</c:v>
                </c:pt>
                <c:pt idx="2">
                  <c:v>1870s</c:v>
                </c:pt>
                <c:pt idx="3">
                  <c:v>1880s-90s</c:v>
                </c:pt>
                <c:pt idx="4">
                  <c:v>1900s</c:v>
                </c:pt>
                <c:pt idx="5">
                  <c:v>1910s</c:v>
                </c:pt>
                <c:pt idx="6">
                  <c:v>1920s</c:v>
                </c:pt>
                <c:pt idx="7">
                  <c:v>1930s</c:v>
                </c:pt>
                <c:pt idx="8">
                  <c:v>1940s</c:v>
                </c:pt>
                <c:pt idx="9">
                  <c:v>1950s</c:v>
                </c:pt>
                <c:pt idx="10">
                  <c:v>1960s</c:v>
                </c:pt>
                <c:pt idx="11">
                  <c:v>1970s</c:v>
                </c:pt>
                <c:pt idx="12">
                  <c:v>1980s</c:v>
                </c:pt>
                <c:pt idx="13">
                  <c:v>1990s</c:v>
                </c:pt>
                <c:pt idx="14">
                  <c:v>2000s</c:v>
                </c:pt>
                <c:pt idx="15">
                  <c:v>2010s</c:v>
                </c:pt>
              </c:strCache>
            </c:strRef>
          </c:cat>
          <c:val>
            <c:numRef>
              <c:f>Figure14!$D$2:$D$17</c:f>
              <c:numCache>
                <c:formatCode>0.000</c:formatCode>
                <c:ptCount val="16"/>
                <c:pt idx="0">
                  <c:v>0.14791175723075867</c:v>
                </c:pt>
                <c:pt idx="1">
                  <c:v>0.13787184655666351</c:v>
                </c:pt>
                <c:pt idx="2">
                  <c:v>9.5109015703201294E-2</c:v>
                </c:pt>
                <c:pt idx="3">
                  <c:v>5.328156054019928E-2</c:v>
                </c:pt>
                <c:pt idx="4">
                  <c:v>5.6266408413648605E-2</c:v>
                </c:pt>
                <c:pt idx="5">
                  <c:v>7.1959123015403748E-2</c:v>
                </c:pt>
                <c:pt idx="6">
                  <c:v>7.3789343237876892E-2</c:v>
                </c:pt>
                <c:pt idx="7">
                  <c:v>9.1273970901966095E-2</c:v>
                </c:pt>
                <c:pt idx="8">
                  <c:v>0.11411100625991821</c:v>
                </c:pt>
                <c:pt idx="9">
                  <c:v>7.5094625353813171E-2</c:v>
                </c:pt>
                <c:pt idx="10">
                  <c:v>8.5678078234195709E-2</c:v>
                </c:pt>
                <c:pt idx="11">
                  <c:v>7.1725137531757355E-2</c:v>
                </c:pt>
                <c:pt idx="12">
                  <c:v>6.0633547604084015E-2</c:v>
                </c:pt>
                <c:pt idx="13">
                  <c:v>4.743904247879982E-2</c:v>
                </c:pt>
                <c:pt idx="14">
                  <c:v>4.6396549791097641E-2</c:v>
                </c:pt>
                <c:pt idx="15">
                  <c:v>4.2922642081975937E-2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7-474E-B43F-ECD6C35C9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1648857696"/>
        <c:axId val="1648880256"/>
      </c:barChart>
      <c:catAx>
        <c:axId val="164885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48880256"/>
        <c:crosses val="autoZero"/>
        <c:auto val="1"/>
        <c:lblAlgn val="ctr"/>
        <c:lblOffset val="100"/>
        <c:noMultiLvlLbl val="0"/>
      </c:catAx>
      <c:valAx>
        <c:axId val="1648880256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2.5252525252525252E-2"/>
              <c:y val="6.923147764424183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4885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441325</xdr:colOff>
      <xdr:row>3</xdr:row>
      <xdr:rowOff>57150</xdr:rowOff>
    </xdr:from>
    <xdr:to>
      <xdr:col>11</xdr:col>
      <xdr:colOff>593725</xdr:colOff>
      <xdr:row>22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3BB505-0CBD-8258-441E-67CB12BA0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12</xdr:col>
      <xdr:colOff>152400</xdr:colOff>
      <xdr:row>43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1857CB-C6C3-4C01-BCEC-934FFF7859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171444</xdr:colOff>
      <xdr:row>5</xdr:row>
      <xdr:rowOff>47616</xdr:rowOff>
    </xdr:from>
    <xdr:to>
      <xdr:col>12</xdr:col>
      <xdr:colOff>323844</xdr:colOff>
      <xdr:row>24</xdr:row>
      <xdr:rowOff>83811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62BD78-ED5F-A7E9-797E-C02FF99F1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266694</xdr:colOff>
      <xdr:row>4</xdr:row>
      <xdr:rowOff>76192</xdr:rowOff>
    </xdr:from>
    <xdr:to>
      <xdr:col>13</xdr:col>
      <xdr:colOff>419094</xdr:colOff>
      <xdr:row>23</xdr:row>
      <xdr:rowOff>112387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F8C8D3-BD32-44AA-1C0E-9A2C512131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60321</xdr:colOff>
      <xdr:row>4</xdr:row>
      <xdr:rowOff>95240</xdr:rowOff>
    </xdr:from>
    <xdr:to>
      <xdr:col>14</xdr:col>
      <xdr:colOff>212721</xdr:colOff>
      <xdr:row>23</xdr:row>
      <xdr:rowOff>131435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99194B-73C5-5346-4305-928C4E754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119062</xdr:rowOff>
    </xdr:from>
    <xdr:to>
      <xdr:col>11</xdr:col>
      <xdr:colOff>600075</xdr:colOff>
      <xdr:row>22</xdr:row>
      <xdr:rowOff>164782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645199-D9B6-C4B0-9E68-0B6DE830D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319087</xdr:colOff>
      <xdr:row>4</xdr:row>
      <xdr:rowOff>42862</xdr:rowOff>
    </xdr:from>
    <xdr:to>
      <xdr:col>20</xdr:col>
      <xdr:colOff>14287</xdr:colOff>
      <xdr:row>22</xdr:row>
      <xdr:rowOff>88582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330816-2E4B-3E40-E574-C1D0740AD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481012</xdr:colOff>
      <xdr:row>4</xdr:row>
      <xdr:rowOff>23812</xdr:rowOff>
    </xdr:from>
    <xdr:to>
      <xdr:col>14</xdr:col>
      <xdr:colOff>23812</xdr:colOff>
      <xdr:row>22</xdr:row>
      <xdr:rowOff>69532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F331E8-6A82-92E9-8D6E-E813D11B6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461962</xdr:colOff>
      <xdr:row>20</xdr:row>
      <xdr:rowOff>4762</xdr:rowOff>
    </xdr:from>
    <xdr:to>
      <xdr:col>13</xdr:col>
      <xdr:colOff>107950</xdr:colOff>
      <xdr:row>38</xdr:row>
      <xdr:rowOff>50482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AF2DA8-42A5-958F-3F67-65DEF97E4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2</xdr:row>
      <xdr:rowOff>138112</xdr:rowOff>
    </xdr:from>
    <xdr:to>
      <xdr:col>13</xdr:col>
      <xdr:colOff>361950</xdr:colOff>
      <xdr:row>20</xdr:row>
      <xdr:rowOff>183832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B2906A-9DF1-E803-2A7E-EB09A63C7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0CD8-73F2-48D6-B3B6-BE779BB1C990}">
  <dimension ref="A2:A46"/>
  <sheetViews>
    <sheetView topLeftCell="A16" workbookViewId="0">
      <selection activeCell="A37" sqref="A37"/>
    </sheetView>
  </sheetViews>
  <sheetFormatPr defaultColWidth="8.7109375" defaultRowHeight="15" x14ac:dyDescent="0.25"/>
  <cols>
    <col min="1" max="16384" width="8.7109375" style="1"/>
  </cols>
  <sheetData>
    <row r="2" spans="1:1" x14ac:dyDescent="0.25">
      <c r="A2" s="3" t="s">
        <v>8</v>
      </c>
    </row>
    <row r="4" spans="1:1" x14ac:dyDescent="0.25">
      <c r="A4" s="4" t="s">
        <v>0</v>
      </c>
    </row>
    <row r="5" spans="1:1" x14ac:dyDescent="0.25">
      <c r="A5" s="1" t="s">
        <v>1</v>
      </c>
    </row>
    <row r="6" spans="1:1" x14ac:dyDescent="0.25">
      <c r="A6" s="1" t="s">
        <v>2</v>
      </c>
    </row>
    <row r="7" spans="1:1" x14ac:dyDescent="0.25">
      <c r="A7" s="1" t="s">
        <v>3</v>
      </c>
    </row>
    <row r="9" spans="1:1" x14ac:dyDescent="0.25">
      <c r="A9" s="6" t="s">
        <v>9</v>
      </c>
    </row>
    <row r="10" spans="1:1" x14ac:dyDescent="0.25">
      <c r="A10" s="4"/>
    </row>
    <row r="11" spans="1:1" x14ac:dyDescent="0.25">
      <c r="A11" s="1" t="s">
        <v>21</v>
      </c>
    </row>
    <row r="12" spans="1:1" x14ac:dyDescent="0.25">
      <c r="A12" s="1" t="s">
        <v>22</v>
      </c>
    </row>
    <row r="13" spans="1:1" x14ac:dyDescent="0.25">
      <c r="A13" s="1" t="s">
        <v>23</v>
      </c>
    </row>
    <row r="15" spans="1:1" x14ac:dyDescent="0.25">
      <c r="A15" s="3" t="s">
        <v>20</v>
      </c>
    </row>
    <row r="17" spans="1:1" x14ac:dyDescent="0.25">
      <c r="A17" s="4" t="s">
        <v>0</v>
      </c>
    </row>
    <row r="18" spans="1:1" x14ac:dyDescent="0.25">
      <c r="A18" s="1" t="s">
        <v>1</v>
      </c>
    </row>
    <row r="19" spans="1:1" x14ac:dyDescent="0.25">
      <c r="A19" s="1" t="s">
        <v>2</v>
      </c>
    </row>
    <row r="20" spans="1:1" x14ac:dyDescent="0.25">
      <c r="A20" s="1" t="s">
        <v>3</v>
      </c>
    </row>
    <row r="22" spans="1:1" x14ac:dyDescent="0.25">
      <c r="A22" s="3" t="s">
        <v>24</v>
      </c>
    </row>
    <row r="24" spans="1:1" x14ac:dyDescent="0.25">
      <c r="A24" s="4" t="s">
        <v>31</v>
      </c>
    </row>
    <row r="25" spans="1:1" x14ac:dyDescent="0.25">
      <c r="A25" s="1" t="s">
        <v>32</v>
      </c>
    </row>
    <row r="26" spans="1:1" x14ac:dyDescent="0.25">
      <c r="A26" s="1" t="s">
        <v>33</v>
      </c>
    </row>
    <row r="27" spans="1:1" x14ac:dyDescent="0.25">
      <c r="A27" s="1" t="s">
        <v>34</v>
      </c>
    </row>
    <row r="29" spans="1:1" x14ac:dyDescent="0.25">
      <c r="A29" s="3" t="s">
        <v>30</v>
      </c>
    </row>
    <row r="31" spans="1:1" x14ac:dyDescent="0.25">
      <c r="A31" s="4" t="s">
        <v>15</v>
      </c>
    </row>
    <row r="32" spans="1:1" x14ac:dyDescent="0.25">
      <c r="A32" s="1" t="s">
        <v>16</v>
      </c>
    </row>
    <row r="33" spans="1:1" x14ac:dyDescent="0.25">
      <c r="A33" s="1" t="s">
        <v>17</v>
      </c>
    </row>
    <row r="34" spans="1:1" x14ac:dyDescent="0.25">
      <c r="A34" s="1" t="s">
        <v>18</v>
      </c>
    </row>
    <row r="36" spans="1:1" x14ac:dyDescent="0.25">
      <c r="A36" s="3" t="s">
        <v>93</v>
      </c>
    </row>
    <row r="38" spans="1:1" x14ac:dyDescent="0.25">
      <c r="A38" s="4" t="s">
        <v>92</v>
      </c>
    </row>
    <row r="39" spans="1:1" x14ac:dyDescent="0.25">
      <c r="A39" s="1" t="s">
        <v>71</v>
      </c>
    </row>
    <row r="40" spans="1:1" x14ac:dyDescent="0.25">
      <c r="A40" s="1" t="s">
        <v>72</v>
      </c>
    </row>
    <row r="42" spans="1:1" x14ac:dyDescent="0.25">
      <c r="A42" s="3" t="s">
        <v>94</v>
      </c>
    </row>
    <row r="44" spans="1:1" x14ac:dyDescent="0.25">
      <c r="A44" s="4" t="s">
        <v>70</v>
      </c>
    </row>
    <row r="45" spans="1:1" x14ac:dyDescent="0.25">
      <c r="A45" s="1" t="s">
        <v>71</v>
      </c>
    </row>
    <row r="46" spans="1:1" x14ac:dyDescent="0.25">
      <c r="A46" s="1" t="s">
        <v>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069E-E1AE-4011-A318-A1561842ECEB}">
  <dimension ref="A1:C82"/>
  <sheetViews>
    <sheetView topLeftCell="A4" workbookViewId="0">
      <selection activeCell="B82" sqref="B82"/>
    </sheetView>
  </sheetViews>
  <sheetFormatPr defaultColWidth="8.7109375" defaultRowHeight="15" x14ac:dyDescent="0.25"/>
  <cols>
    <col min="1" max="16384" width="8.7109375" style="1"/>
  </cols>
  <sheetData>
    <row r="1" spans="1:3" x14ac:dyDescent="0.25">
      <c r="B1" s="1" t="s">
        <v>4</v>
      </c>
    </row>
    <row r="2" spans="1:3" x14ac:dyDescent="0.25">
      <c r="B2" s="1" t="s">
        <v>5</v>
      </c>
    </row>
    <row r="3" spans="1:3" x14ac:dyDescent="0.25">
      <c r="B3" s="1" t="s">
        <v>6</v>
      </c>
    </row>
    <row r="4" spans="1:3" x14ac:dyDescent="0.25">
      <c r="B4" s="1" t="s">
        <v>7</v>
      </c>
    </row>
    <row r="5" spans="1:3" x14ac:dyDescent="0.25">
      <c r="A5" s="1">
        <v>1947</v>
      </c>
      <c r="B5" s="2">
        <v>65.099999999999994</v>
      </c>
      <c r="C5" s="2">
        <f>AVERAGE(B5:B82)</f>
        <v>61.232051282051266</v>
      </c>
    </row>
    <row r="6" spans="1:3" x14ac:dyDescent="0.25">
      <c r="A6" s="1">
        <v>1948</v>
      </c>
      <c r="B6" s="2">
        <v>64.7</v>
      </c>
      <c r="C6" s="2">
        <f>MAX(B5:B57)</f>
        <v>65.3</v>
      </c>
    </row>
    <row r="7" spans="1:3" x14ac:dyDescent="0.25">
      <c r="A7" s="1">
        <v>1949</v>
      </c>
      <c r="B7" s="2">
        <v>64</v>
      </c>
      <c r="C7" s="2">
        <f>MIN(B5:B57)</f>
        <v>60.5</v>
      </c>
    </row>
    <row r="8" spans="1:3" x14ac:dyDescent="0.25">
      <c r="A8" s="1">
        <v>1950</v>
      </c>
      <c r="B8" s="2">
        <v>62.9</v>
      </c>
    </row>
    <row r="9" spans="1:3" x14ac:dyDescent="0.25">
      <c r="A9" s="1">
        <v>1951</v>
      </c>
      <c r="B9" s="2">
        <v>62.6</v>
      </c>
    </row>
    <row r="10" spans="1:3" x14ac:dyDescent="0.25">
      <c r="A10" s="1">
        <v>1952</v>
      </c>
      <c r="B10" s="2">
        <v>63.5</v>
      </c>
    </row>
    <row r="11" spans="1:3" x14ac:dyDescent="0.25">
      <c r="A11" s="1">
        <v>1953</v>
      </c>
      <c r="B11" s="2">
        <v>64.2</v>
      </c>
    </row>
    <row r="12" spans="1:3" x14ac:dyDescent="0.25">
      <c r="A12" s="1">
        <v>1954</v>
      </c>
      <c r="B12" s="2">
        <v>64.400000000000006</v>
      </c>
    </row>
    <row r="13" spans="1:3" x14ac:dyDescent="0.25">
      <c r="A13" s="1">
        <v>1955</v>
      </c>
      <c r="B13" s="2">
        <v>62.9</v>
      </c>
    </row>
    <row r="14" spans="1:3" x14ac:dyDescent="0.25">
      <c r="A14" s="1">
        <v>1956</v>
      </c>
      <c r="B14" s="2">
        <v>64.8</v>
      </c>
    </row>
    <row r="15" spans="1:3" x14ac:dyDescent="0.25">
      <c r="A15" s="1">
        <v>1957</v>
      </c>
      <c r="B15" s="2">
        <v>64.8</v>
      </c>
    </row>
    <row r="16" spans="1:3" x14ac:dyDescent="0.25">
      <c r="A16" s="1">
        <v>1958</v>
      </c>
      <c r="B16" s="2">
        <v>64.8</v>
      </c>
    </row>
    <row r="17" spans="1:2" x14ac:dyDescent="0.25">
      <c r="A17" s="1">
        <v>1959</v>
      </c>
      <c r="B17" s="2">
        <v>64</v>
      </c>
    </row>
    <row r="18" spans="1:2" x14ac:dyDescent="0.25">
      <c r="A18" s="1">
        <v>1960</v>
      </c>
      <c r="B18" s="2">
        <v>65.3</v>
      </c>
    </row>
    <row r="19" spans="1:2" x14ac:dyDescent="0.25">
      <c r="A19" s="1">
        <v>1961</v>
      </c>
      <c r="B19" s="2">
        <v>64.8</v>
      </c>
    </row>
    <row r="20" spans="1:2" x14ac:dyDescent="0.25">
      <c r="A20" s="1">
        <v>1962</v>
      </c>
      <c r="B20" s="2">
        <v>63.9</v>
      </c>
    </row>
    <row r="21" spans="1:2" x14ac:dyDescent="0.25">
      <c r="A21" s="1">
        <v>1963</v>
      </c>
      <c r="B21" s="2">
        <v>63.4</v>
      </c>
    </row>
    <row r="22" spans="1:2" x14ac:dyDescent="0.25">
      <c r="A22" s="1">
        <v>1964</v>
      </c>
      <c r="B22" s="2">
        <v>62.7</v>
      </c>
    </row>
    <row r="23" spans="1:2" x14ac:dyDescent="0.25">
      <c r="A23" s="1">
        <v>1965</v>
      </c>
      <c r="B23" s="2">
        <v>62</v>
      </c>
    </row>
    <row r="24" spans="1:2" x14ac:dyDescent="0.25">
      <c r="A24" s="1">
        <v>1966</v>
      </c>
      <c r="B24" s="2">
        <v>62</v>
      </c>
    </row>
    <row r="25" spans="1:2" x14ac:dyDescent="0.25">
      <c r="A25" s="1">
        <v>1967</v>
      </c>
      <c r="B25" s="2">
        <v>62.4</v>
      </c>
    </row>
    <row r="26" spans="1:2" x14ac:dyDescent="0.25">
      <c r="A26" s="1">
        <v>1968</v>
      </c>
      <c r="B26" s="2">
        <v>62.5</v>
      </c>
    </row>
    <row r="27" spans="1:2" x14ac:dyDescent="0.25">
      <c r="A27" s="1">
        <v>1969</v>
      </c>
      <c r="B27" s="2">
        <v>63.8</v>
      </c>
    </row>
    <row r="28" spans="1:2" x14ac:dyDescent="0.25">
      <c r="A28" s="1">
        <v>1970</v>
      </c>
      <c r="B28" s="2">
        <v>64.400000000000006</v>
      </c>
    </row>
    <row r="29" spans="1:2" x14ac:dyDescent="0.25">
      <c r="A29" s="1">
        <v>1971</v>
      </c>
      <c r="B29" s="2">
        <v>63</v>
      </c>
    </row>
    <row r="30" spans="1:2" x14ac:dyDescent="0.25">
      <c r="A30" s="1">
        <v>1972</v>
      </c>
      <c r="B30" s="2">
        <v>62.9</v>
      </c>
    </row>
    <row r="31" spans="1:2" x14ac:dyDescent="0.25">
      <c r="A31" s="1">
        <v>1973</v>
      </c>
      <c r="B31" s="2">
        <v>63.5</v>
      </c>
    </row>
    <row r="32" spans="1:2" x14ac:dyDescent="0.25">
      <c r="A32" s="1">
        <v>1974</v>
      </c>
      <c r="B32" s="2">
        <v>64</v>
      </c>
    </row>
    <row r="33" spans="1:2" x14ac:dyDescent="0.25">
      <c r="A33" s="1">
        <v>1975</v>
      </c>
      <c r="B33" s="2">
        <v>62.2</v>
      </c>
    </row>
    <row r="34" spans="1:2" x14ac:dyDescent="0.25">
      <c r="A34" s="1">
        <v>1976</v>
      </c>
      <c r="B34" s="2">
        <v>61.4</v>
      </c>
    </row>
    <row r="35" spans="1:2" x14ac:dyDescent="0.25">
      <c r="A35" s="1">
        <v>1977</v>
      </c>
      <c r="B35" s="2">
        <v>61.5</v>
      </c>
    </row>
    <row r="36" spans="1:2" x14ac:dyDescent="0.25">
      <c r="A36" s="1">
        <v>1978</v>
      </c>
      <c r="B36" s="2">
        <v>61.8</v>
      </c>
    </row>
    <row r="37" spans="1:2" x14ac:dyDescent="0.25">
      <c r="A37" s="1">
        <v>1979</v>
      </c>
      <c r="B37" s="2">
        <v>62.6</v>
      </c>
    </row>
    <row r="38" spans="1:2" x14ac:dyDescent="0.25">
      <c r="A38" s="1">
        <v>1980</v>
      </c>
      <c r="B38" s="2">
        <v>63.3</v>
      </c>
    </row>
    <row r="39" spans="1:2" x14ac:dyDescent="0.25">
      <c r="A39" s="1">
        <v>1981</v>
      </c>
      <c r="B39" s="2">
        <v>62.4</v>
      </c>
    </row>
    <row r="40" spans="1:2" x14ac:dyDescent="0.25">
      <c r="A40" s="1">
        <v>1982</v>
      </c>
      <c r="B40" s="2">
        <v>63.6</v>
      </c>
    </row>
    <row r="41" spans="1:2" x14ac:dyDescent="0.25">
      <c r="A41" s="1">
        <v>1983</v>
      </c>
      <c r="B41" s="2">
        <v>61.7</v>
      </c>
    </row>
    <row r="42" spans="1:2" x14ac:dyDescent="0.25">
      <c r="A42" s="1">
        <v>1984</v>
      </c>
      <c r="B42" s="2">
        <v>61.2</v>
      </c>
    </row>
    <row r="43" spans="1:2" x14ac:dyDescent="0.25">
      <c r="A43" s="1">
        <v>1985</v>
      </c>
      <c r="B43" s="2">
        <v>61.3</v>
      </c>
    </row>
    <row r="44" spans="1:2" x14ac:dyDescent="0.25">
      <c r="A44" s="1">
        <v>1986</v>
      </c>
      <c r="B44" s="2">
        <v>62</v>
      </c>
    </row>
    <row r="45" spans="1:2" x14ac:dyDescent="0.25">
      <c r="A45" s="1">
        <v>1987</v>
      </c>
      <c r="B45" s="2">
        <v>62.8</v>
      </c>
    </row>
    <row r="46" spans="1:2" x14ac:dyDescent="0.25">
      <c r="A46" s="1">
        <v>1988</v>
      </c>
      <c r="B46" s="2">
        <v>63.1</v>
      </c>
    </row>
    <row r="47" spans="1:2" x14ac:dyDescent="0.25">
      <c r="A47" s="1">
        <v>1989</v>
      </c>
      <c r="B47" s="2">
        <v>62.1</v>
      </c>
    </row>
    <row r="48" spans="1:2" x14ac:dyDescent="0.25">
      <c r="A48" s="1">
        <v>1990</v>
      </c>
      <c r="B48" s="2">
        <v>62.5</v>
      </c>
    </row>
    <row r="49" spans="1:2" x14ac:dyDescent="0.25">
      <c r="A49" s="1">
        <v>1991</v>
      </c>
      <c r="B49" s="2">
        <v>62.5</v>
      </c>
    </row>
    <row r="50" spans="1:2" x14ac:dyDescent="0.25">
      <c r="A50" s="1">
        <v>1992</v>
      </c>
      <c r="B50" s="2">
        <v>62.5</v>
      </c>
    </row>
    <row r="51" spans="1:2" x14ac:dyDescent="0.25">
      <c r="A51" s="1">
        <v>1993</v>
      </c>
      <c r="B51" s="2">
        <v>61.8</v>
      </c>
    </row>
    <row r="52" spans="1:2" x14ac:dyDescent="0.25">
      <c r="A52" s="1">
        <v>1994</v>
      </c>
      <c r="B52" s="2">
        <v>60.8</v>
      </c>
    </row>
    <row r="53" spans="1:2" x14ac:dyDescent="0.25">
      <c r="A53" s="1">
        <v>1995</v>
      </c>
      <c r="B53" s="2">
        <v>60.6</v>
      </c>
    </row>
    <row r="54" spans="1:2" x14ac:dyDescent="0.25">
      <c r="A54" s="1">
        <v>1996</v>
      </c>
      <c r="B54" s="2">
        <v>60.5</v>
      </c>
    </row>
    <row r="55" spans="1:2" x14ac:dyDescent="0.25">
      <c r="A55" s="1">
        <v>1997</v>
      </c>
      <c r="B55" s="2">
        <v>60.7</v>
      </c>
    </row>
    <row r="56" spans="1:2" x14ac:dyDescent="0.25">
      <c r="A56" s="1">
        <v>1998</v>
      </c>
      <c r="B56" s="2">
        <v>61.9</v>
      </c>
    </row>
    <row r="57" spans="1:2" x14ac:dyDescent="0.25">
      <c r="A57" s="1">
        <v>1999</v>
      </c>
      <c r="B57" s="2">
        <v>61.9</v>
      </c>
    </row>
    <row r="58" spans="1:2" x14ac:dyDescent="0.25">
      <c r="A58" s="1">
        <v>2000</v>
      </c>
      <c r="B58" s="2">
        <v>63</v>
      </c>
    </row>
    <row r="59" spans="1:2" x14ac:dyDescent="0.25">
      <c r="A59" s="1">
        <v>2001</v>
      </c>
      <c r="B59" s="2">
        <v>63.1</v>
      </c>
    </row>
    <row r="60" spans="1:2" x14ac:dyDescent="0.25">
      <c r="A60" s="1">
        <v>2002</v>
      </c>
      <c r="B60" s="2">
        <v>61.4</v>
      </c>
    </row>
    <row r="61" spans="1:2" x14ac:dyDescent="0.25">
      <c r="A61" s="1">
        <v>2003</v>
      </c>
      <c r="B61" s="2">
        <v>60.6</v>
      </c>
    </row>
    <row r="62" spans="1:2" x14ac:dyDescent="0.25">
      <c r="A62" s="1">
        <v>2004</v>
      </c>
      <c r="B62" s="2">
        <v>60.1</v>
      </c>
    </row>
    <row r="63" spans="1:2" x14ac:dyDescent="0.25">
      <c r="A63" s="1">
        <v>2005</v>
      </c>
      <c r="B63" s="2">
        <v>59</v>
      </c>
    </row>
    <row r="64" spans="1:2" x14ac:dyDescent="0.25">
      <c r="A64" s="1">
        <v>2006</v>
      </c>
      <c r="B64" s="2">
        <v>58.9</v>
      </c>
    </row>
    <row r="65" spans="1:2" x14ac:dyDescent="0.25">
      <c r="A65" s="1">
        <v>2007</v>
      </c>
      <c r="B65" s="2">
        <v>59.2</v>
      </c>
    </row>
    <row r="66" spans="1:2" x14ac:dyDescent="0.25">
      <c r="A66" s="1">
        <v>2008</v>
      </c>
      <c r="B66" s="2">
        <v>59.4</v>
      </c>
    </row>
    <row r="67" spans="1:2" x14ac:dyDescent="0.25">
      <c r="A67" s="1">
        <v>2009</v>
      </c>
      <c r="B67" s="2">
        <v>57.6</v>
      </c>
    </row>
    <row r="68" spans="1:2" x14ac:dyDescent="0.25">
      <c r="A68" s="1">
        <v>2010</v>
      </c>
      <c r="B68" s="2">
        <v>56.2</v>
      </c>
    </row>
    <row r="69" spans="1:2" x14ac:dyDescent="0.25">
      <c r="A69" s="1">
        <v>2011</v>
      </c>
      <c r="B69" s="2">
        <v>56.3</v>
      </c>
    </row>
    <row r="70" spans="1:2" x14ac:dyDescent="0.25">
      <c r="A70" s="1">
        <v>2012</v>
      </c>
      <c r="B70" s="2">
        <v>56.2</v>
      </c>
    </row>
    <row r="71" spans="1:2" x14ac:dyDescent="0.25">
      <c r="A71" s="1">
        <v>2013</v>
      </c>
      <c r="B71" s="2">
        <v>55.7</v>
      </c>
    </row>
    <row r="72" spans="1:2" x14ac:dyDescent="0.25">
      <c r="A72" s="1">
        <v>2014</v>
      </c>
      <c r="B72" s="2">
        <v>55.8</v>
      </c>
    </row>
    <row r="73" spans="1:2" x14ac:dyDescent="0.25">
      <c r="A73" s="1">
        <v>2015</v>
      </c>
      <c r="B73" s="2">
        <v>56.4</v>
      </c>
    </row>
    <row r="74" spans="1:2" x14ac:dyDescent="0.25">
      <c r="A74" s="1">
        <v>2016</v>
      </c>
      <c r="B74" s="2">
        <v>56.2</v>
      </c>
    </row>
    <row r="75" spans="1:2" x14ac:dyDescent="0.25">
      <c r="A75" s="1">
        <v>2017</v>
      </c>
      <c r="B75" s="2">
        <v>56.5</v>
      </c>
    </row>
    <row r="76" spans="1:2" x14ac:dyDescent="0.25">
      <c r="A76" s="1">
        <v>2018</v>
      </c>
      <c r="B76" s="2">
        <v>56.4</v>
      </c>
    </row>
    <row r="77" spans="1:2" x14ac:dyDescent="0.25">
      <c r="A77" s="1">
        <v>2019</v>
      </c>
      <c r="B77" s="2">
        <v>56.5</v>
      </c>
    </row>
    <row r="78" spans="1:2" x14ac:dyDescent="0.25">
      <c r="A78" s="1">
        <v>2020</v>
      </c>
      <c r="B78" s="2">
        <v>57.8</v>
      </c>
    </row>
    <row r="79" spans="1:2" x14ac:dyDescent="0.25">
      <c r="A79" s="1">
        <v>2021</v>
      </c>
      <c r="B79" s="2">
        <v>56.8</v>
      </c>
    </row>
    <row r="80" spans="1:2" x14ac:dyDescent="0.25">
      <c r="A80" s="1">
        <v>2022</v>
      </c>
      <c r="B80" s="2">
        <v>55.4</v>
      </c>
    </row>
    <row r="81" spans="1:2" x14ac:dyDescent="0.25">
      <c r="A81" s="1">
        <v>2023</v>
      </c>
      <c r="B81" s="2">
        <v>54.7</v>
      </c>
    </row>
    <row r="82" spans="1:2" x14ac:dyDescent="0.25">
      <c r="A82" s="1">
        <v>2024</v>
      </c>
      <c r="B82" s="2">
        <v>54.9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5DCA3-DC42-4276-BC72-1D578F45A75F}">
  <dimension ref="A1:D14"/>
  <sheetViews>
    <sheetView workbookViewId="0">
      <selection activeCell="F83" sqref="F83"/>
    </sheetView>
  </sheetViews>
  <sheetFormatPr defaultColWidth="8.7109375" defaultRowHeight="15" x14ac:dyDescent="0.25"/>
  <cols>
    <col min="1" max="16384" width="8.7109375" style="1"/>
  </cols>
  <sheetData>
    <row r="1" spans="1:4" x14ac:dyDescent="0.25">
      <c r="A1" s="1" t="s">
        <v>10</v>
      </c>
      <c r="B1" s="1" t="s">
        <v>19</v>
      </c>
    </row>
    <row r="2" spans="1:4" x14ac:dyDescent="0.25">
      <c r="A2" s="1">
        <v>1900</v>
      </c>
      <c r="B2" s="1">
        <v>21532000</v>
      </c>
      <c r="C2" s="1">
        <f>B2/10^6</f>
        <v>21.532</v>
      </c>
    </row>
    <row r="3" spans="1:4" x14ac:dyDescent="0.25">
      <c r="A3" s="1">
        <v>1905</v>
      </c>
      <c r="B3" s="1">
        <v>22077000</v>
      </c>
      <c r="C3" s="1">
        <f t="shared" ref="C3:C14" si="0">B3/10^6</f>
        <v>22.077000000000002</v>
      </c>
    </row>
    <row r="4" spans="1:4" x14ac:dyDescent="0.25">
      <c r="A4" s="1">
        <v>1910</v>
      </c>
      <c r="B4" s="1">
        <v>24043000</v>
      </c>
      <c r="C4" s="1">
        <f t="shared" si="0"/>
        <v>24.042999999999999</v>
      </c>
    </row>
    <row r="5" spans="1:4" x14ac:dyDescent="0.25">
      <c r="A5" s="1">
        <v>1915</v>
      </c>
      <c r="B5" s="1">
        <v>26493000</v>
      </c>
      <c r="C5" s="1">
        <f t="shared" si="0"/>
        <v>26.492999999999999</v>
      </c>
    </row>
    <row r="6" spans="1:4" x14ac:dyDescent="0.25">
      <c r="A6" s="1">
        <v>1920</v>
      </c>
      <c r="B6" s="1">
        <v>25200000</v>
      </c>
      <c r="C6" s="1">
        <f t="shared" si="0"/>
        <v>25.2</v>
      </c>
    </row>
    <row r="7" spans="1:4" x14ac:dyDescent="0.25">
      <c r="A7" s="1">
        <v>1925</v>
      </c>
      <c r="B7" s="1">
        <v>22082000</v>
      </c>
      <c r="C7" s="1">
        <f t="shared" si="0"/>
        <v>22.082000000000001</v>
      </c>
    </row>
    <row r="8" spans="1:4" x14ac:dyDescent="0.25">
      <c r="A8" s="1">
        <v>1930</v>
      </c>
      <c r="B8" s="1">
        <v>18886000</v>
      </c>
      <c r="C8" s="1">
        <f t="shared" si="0"/>
        <v>18.885999999999999</v>
      </c>
    </row>
    <row r="9" spans="1:4" x14ac:dyDescent="0.25">
      <c r="A9" s="1">
        <v>1935</v>
      </c>
      <c r="B9" s="1">
        <v>16676000</v>
      </c>
      <c r="C9" s="1">
        <f t="shared" si="0"/>
        <v>16.675999999999998</v>
      </c>
    </row>
    <row r="10" spans="1:4" x14ac:dyDescent="0.25">
      <c r="A10" s="1">
        <v>1940</v>
      </c>
      <c r="B10" s="1">
        <v>13932000</v>
      </c>
      <c r="C10" s="1">
        <f t="shared" si="0"/>
        <v>13.932</v>
      </c>
    </row>
    <row r="11" spans="1:4" x14ac:dyDescent="0.25">
      <c r="A11" s="1">
        <v>1945</v>
      </c>
      <c r="B11" s="1">
        <v>11629000</v>
      </c>
      <c r="C11" s="1">
        <f t="shared" si="0"/>
        <v>11.629</v>
      </c>
    </row>
    <row r="12" spans="1:4" x14ac:dyDescent="0.25">
      <c r="A12" s="1">
        <v>1950</v>
      </c>
      <c r="B12" s="1">
        <v>7604000</v>
      </c>
      <c r="C12" s="1">
        <f t="shared" si="0"/>
        <v>7.6040000000000001</v>
      </c>
    </row>
    <row r="13" spans="1:4" x14ac:dyDescent="0.25">
      <c r="A13" s="1">
        <v>1955</v>
      </c>
      <c r="B13" s="1">
        <v>4309000</v>
      </c>
      <c r="C13" s="1">
        <f t="shared" si="0"/>
        <v>4.3090000000000002</v>
      </c>
    </row>
    <row r="14" spans="1:4" x14ac:dyDescent="0.25">
      <c r="A14" s="1">
        <v>1960</v>
      </c>
      <c r="B14" s="1">
        <v>3089000</v>
      </c>
      <c r="C14" s="1">
        <f t="shared" si="0"/>
        <v>3.089</v>
      </c>
      <c r="D14" s="1">
        <f>C14/C5</f>
        <v>0.11659683690031329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06EA5-A649-4ADE-8813-6EE32555EEE9}">
  <dimension ref="A1:E91"/>
  <sheetViews>
    <sheetView topLeftCell="E2" workbookViewId="0">
      <selection activeCell="L31" sqref="L31"/>
    </sheetView>
  </sheetViews>
  <sheetFormatPr defaultRowHeight="15" x14ac:dyDescent="0.25"/>
  <sheetData>
    <row r="1" spans="1:5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5">
      <c r="A2" s="7">
        <v>1929</v>
      </c>
      <c r="B2" s="8">
        <v>0.61336517333984375</v>
      </c>
      <c r="C2" s="8">
        <v>0.61778849363327026</v>
      </c>
      <c r="D2" s="8">
        <v>0.67244315147399902</v>
      </c>
      <c r="E2" s="8">
        <v>0.67563766241073608</v>
      </c>
    </row>
    <row r="3" spans="1:5" x14ac:dyDescent="0.25">
      <c r="A3" s="7">
        <v>1930</v>
      </c>
      <c r="B3" s="8">
        <v>0.63440865278244019</v>
      </c>
      <c r="C3" s="8">
        <v>0.63956642150878906</v>
      </c>
      <c r="D3" s="8">
        <v>0.67197555303573608</v>
      </c>
      <c r="E3" s="8">
        <v>0.67561548948287964</v>
      </c>
    </row>
    <row r="4" spans="1:5" x14ac:dyDescent="0.25">
      <c r="A4" s="7">
        <v>1931</v>
      </c>
      <c r="B4" s="8">
        <v>0.64160001277923584</v>
      </c>
      <c r="C4" s="8">
        <v>0.64677417278289795</v>
      </c>
      <c r="D4" s="8">
        <v>0.67150795459747314</v>
      </c>
      <c r="E4" s="8">
        <v>0.67559331655502319</v>
      </c>
    </row>
    <row r="5" spans="1:5" x14ac:dyDescent="0.25">
      <c r="A5" s="7">
        <v>1932</v>
      </c>
      <c r="B5" s="8">
        <v>0.65208333730697632</v>
      </c>
      <c r="C5" s="8">
        <v>0.65894734859466553</v>
      </c>
      <c r="D5" s="8">
        <v>0.67104029655456543</v>
      </c>
      <c r="E5" s="8">
        <v>0.67557114362716675</v>
      </c>
    </row>
    <row r="6" spans="1:5" x14ac:dyDescent="0.25">
      <c r="A6" s="7">
        <v>1933</v>
      </c>
      <c r="B6" s="8">
        <v>0.65929204225540161</v>
      </c>
      <c r="C6" s="8">
        <v>0.66666662693023682</v>
      </c>
      <c r="D6" s="8">
        <v>0.67057269811630249</v>
      </c>
      <c r="E6" s="8">
        <v>0.67554891109466553</v>
      </c>
    </row>
    <row r="7" spans="1:5" x14ac:dyDescent="0.25">
      <c r="A7" s="7">
        <v>1934</v>
      </c>
      <c r="B7" s="8">
        <v>0.65654647350311279</v>
      </c>
      <c r="C7" s="8">
        <v>0.66410744190216064</v>
      </c>
      <c r="D7" s="8">
        <v>0.67010509967803955</v>
      </c>
      <c r="E7" s="8">
        <v>0.67552673816680908</v>
      </c>
    </row>
    <row r="8" spans="1:5" x14ac:dyDescent="0.25">
      <c r="A8" s="7">
        <v>1935</v>
      </c>
      <c r="B8" s="8">
        <v>0.66490304470062256</v>
      </c>
      <c r="C8" s="8">
        <v>0.67201429605484009</v>
      </c>
      <c r="D8" s="8">
        <v>0.66963744163513184</v>
      </c>
      <c r="E8" s="8">
        <v>0.67550456523895264</v>
      </c>
    </row>
    <row r="9" spans="1:5" x14ac:dyDescent="0.25">
      <c r="A9" s="7">
        <v>1936</v>
      </c>
      <c r="B9" s="8">
        <v>0.65407854318618774</v>
      </c>
      <c r="C9" s="8">
        <v>0.66106867790222168</v>
      </c>
      <c r="D9" s="8">
        <v>0.6691698431968689</v>
      </c>
      <c r="E9" s="8">
        <v>0.67548239231109619</v>
      </c>
    </row>
    <row r="10" spans="1:5" x14ac:dyDescent="0.25">
      <c r="A10" s="7">
        <v>1937</v>
      </c>
      <c r="B10" s="8">
        <v>0.67176634073257446</v>
      </c>
      <c r="C10" s="8">
        <v>0.67932486534118652</v>
      </c>
      <c r="D10" s="8">
        <v>0.66870224475860596</v>
      </c>
      <c r="E10" s="8">
        <v>0.67546021938323975</v>
      </c>
    </row>
    <row r="11" spans="1:5" x14ac:dyDescent="0.25">
      <c r="A11" s="7">
        <v>1938</v>
      </c>
      <c r="B11" s="8">
        <v>0.66374266147613525</v>
      </c>
      <c r="C11" s="8">
        <v>0.67259258031845093</v>
      </c>
      <c r="D11" s="8">
        <v>0.66823464632034302</v>
      </c>
      <c r="E11" s="8">
        <v>0.6754380464553833</v>
      </c>
    </row>
    <row r="12" spans="1:5" x14ac:dyDescent="0.25">
      <c r="A12" s="7">
        <v>1939</v>
      </c>
      <c r="B12" s="8">
        <v>0.65675675868988037</v>
      </c>
      <c r="C12" s="8">
        <v>0.66484266519546509</v>
      </c>
      <c r="D12" s="8">
        <v>0.6677669882774353</v>
      </c>
      <c r="E12" s="8">
        <v>0.67541587352752686</v>
      </c>
    </row>
    <row r="13" spans="1:5" x14ac:dyDescent="0.25">
      <c r="A13" s="7">
        <v>1940</v>
      </c>
      <c r="B13" s="8">
        <v>0.64583331346511841</v>
      </c>
      <c r="C13" s="8">
        <v>0.6538461446762085</v>
      </c>
      <c r="D13" s="8">
        <v>0.66729938983917236</v>
      </c>
      <c r="E13" s="8">
        <v>0.67539370059967041</v>
      </c>
    </row>
    <row r="14" spans="1:5" x14ac:dyDescent="0.25">
      <c r="A14" s="7">
        <v>1941</v>
      </c>
      <c r="B14" s="8">
        <v>0.64901959896087646</v>
      </c>
      <c r="C14" s="8">
        <v>0.6567460298538208</v>
      </c>
      <c r="D14" s="8">
        <v>0.66683179140090942</v>
      </c>
      <c r="E14" s="8">
        <v>0.67537152767181396</v>
      </c>
    </row>
    <row r="15" spans="1:5" x14ac:dyDescent="0.25">
      <c r="A15" s="7">
        <v>1942</v>
      </c>
      <c r="B15" s="8">
        <v>0.66818529367446899</v>
      </c>
      <c r="C15" s="8">
        <v>0.67536455392837524</v>
      </c>
      <c r="D15" s="8">
        <v>0.66636413335800171</v>
      </c>
      <c r="E15" s="8">
        <v>0.67534929513931274</v>
      </c>
    </row>
    <row r="16" spans="1:5" x14ac:dyDescent="0.25">
      <c r="A16" s="7">
        <v>1943</v>
      </c>
      <c r="B16" s="8">
        <v>0.69098711013793945</v>
      </c>
      <c r="C16" s="8">
        <v>0.69740098714828491</v>
      </c>
      <c r="D16" s="8">
        <v>0.66589653491973877</v>
      </c>
      <c r="E16" s="8">
        <v>0.6753271222114563</v>
      </c>
    </row>
    <row r="17" spans="1:5" x14ac:dyDescent="0.25">
      <c r="A17" s="7">
        <v>1944</v>
      </c>
      <c r="B17" s="8">
        <v>0.68146932125091553</v>
      </c>
      <c r="C17" s="8">
        <v>0.6875</v>
      </c>
      <c r="D17" s="8">
        <v>0.66542893648147583</v>
      </c>
      <c r="E17" s="8">
        <v>0.67530494928359985</v>
      </c>
    </row>
    <row r="18" spans="1:5" x14ac:dyDescent="0.25">
      <c r="A18" s="7">
        <v>1945</v>
      </c>
      <c r="B18" s="8">
        <v>0.6894105076789856</v>
      </c>
      <c r="C18" s="8">
        <v>0.69701987504959106</v>
      </c>
      <c r="D18" s="8">
        <v>0.66496127843856812</v>
      </c>
      <c r="E18" s="8">
        <v>0.67528277635574341</v>
      </c>
    </row>
    <row r="19" spans="1:5" x14ac:dyDescent="0.25">
      <c r="A19" s="7">
        <v>1946</v>
      </c>
      <c r="B19" s="8">
        <v>0.69444441795349121</v>
      </c>
      <c r="C19" s="8">
        <v>0.70442783832550049</v>
      </c>
      <c r="D19" s="8">
        <v>0.66449368000030518</v>
      </c>
      <c r="E19" s="8">
        <v>0.67526060342788696</v>
      </c>
    </row>
    <row r="20" spans="1:5" x14ac:dyDescent="0.25">
      <c r="A20" s="7">
        <v>1947</v>
      </c>
      <c r="B20" s="8">
        <v>0.671059250831604</v>
      </c>
      <c r="C20" s="8">
        <v>0.68212258815765381</v>
      </c>
      <c r="D20" s="8">
        <v>0.66402608156204224</v>
      </c>
      <c r="E20" s="8">
        <v>0.67523843050003052</v>
      </c>
    </row>
    <row r="21" spans="1:5" x14ac:dyDescent="0.25">
      <c r="A21" s="7">
        <v>1948</v>
      </c>
      <c r="B21" s="8">
        <v>0.66805553436279297</v>
      </c>
      <c r="C21" s="8">
        <v>0.67778301239013672</v>
      </c>
      <c r="D21" s="8">
        <v>0.66355842351913452</v>
      </c>
      <c r="E21" s="8">
        <v>0.67521625757217407</v>
      </c>
    </row>
    <row r="22" spans="1:5" x14ac:dyDescent="0.25">
      <c r="A22" s="7">
        <v>1949</v>
      </c>
      <c r="B22" s="8">
        <v>0.6637534499168396</v>
      </c>
      <c r="C22" s="8">
        <v>0.6739841103553772</v>
      </c>
      <c r="D22" s="8">
        <v>0.66309082508087158</v>
      </c>
      <c r="E22" s="8">
        <v>0.67519408464431763</v>
      </c>
    </row>
    <row r="23" spans="1:5" x14ac:dyDescent="0.25">
      <c r="A23" s="7">
        <v>1950</v>
      </c>
      <c r="B23" s="8">
        <v>0.65930867195129395</v>
      </c>
      <c r="C23" s="8">
        <v>0.66934466361999512</v>
      </c>
      <c r="D23" s="8">
        <v>0.66262322664260864</v>
      </c>
      <c r="E23" s="8">
        <v>0.67517185211181641</v>
      </c>
    </row>
    <row r="24" spans="1:5" x14ac:dyDescent="0.25">
      <c r="A24" s="7">
        <v>1951</v>
      </c>
      <c r="B24" s="8">
        <v>0.66179615259170532</v>
      </c>
      <c r="C24" s="8">
        <v>0.67112398147583008</v>
      </c>
      <c r="D24" s="8">
        <v>0.6621556282043457</v>
      </c>
      <c r="E24" s="8">
        <v>0.67514967918395996</v>
      </c>
    </row>
    <row r="25" spans="1:5" x14ac:dyDescent="0.25">
      <c r="A25" s="7">
        <v>1952</v>
      </c>
      <c r="B25" s="8">
        <v>0.67483222484588623</v>
      </c>
      <c r="C25" s="8">
        <v>0.68564611673355103</v>
      </c>
      <c r="D25" s="8">
        <v>0.66168797016143799</v>
      </c>
      <c r="E25" s="8">
        <v>0.67512750625610352</v>
      </c>
    </row>
    <row r="26" spans="1:5" x14ac:dyDescent="0.25">
      <c r="A26" s="7">
        <v>1953</v>
      </c>
      <c r="B26" s="8">
        <v>0.67545509338378906</v>
      </c>
      <c r="C26" s="8">
        <v>0.6873202919960022</v>
      </c>
      <c r="D26" s="8">
        <v>0.66122037172317505</v>
      </c>
      <c r="E26" s="8">
        <v>0.67510533332824707</v>
      </c>
    </row>
    <row r="27" spans="1:5" x14ac:dyDescent="0.25">
      <c r="A27" s="7">
        <v>1954</v>
      </c>
      <c r="B27" s="8">
        <v>0.66989988088607788</v>
      </c>
      <c r="C27" s="8">
        <v>0.6824992299079895</v>
      </c>
      <c r="D27" s="8">
        <v>0.66075277328491211</v>
      </c>
      <c r="E27" s="8">
        <v>0.67508316040039063</v>
      </c>
    </row>
    <row r="28" spans="1:5" x14ac:dyDescent="0.25">
      <c r="A28" s="7">
        <v>1955</v>
      </c>
      <c r="B28" s="8">
        <v>0.65904545783996582</v>
      </c>
      <c r="C28" s="8">
        <v>0.67171567678451538</v>
      </c>
      <c r="D28" s="8">
        <v>0.66028511524200439</v>
      </c>
      <c r="E28" s="8">
        <v>0.67506098747253418</v>
      </c>
    </row>
    <row r="29" spans="1:5" x14ac:dyDescent="0.25">
      <c r="A29" s="7">
        <v>1956</v>
      </c>
      <c r="B29" s="8">
        <v>0.67360174655914307</v>
      </c>
      <c r="C29" s="8">
        <v>0.6884838342666626</v>
      </c>
      <c r="D29" s="8">
        <v>0.65981751680374146</v>
      </c>
      <c r="E29" s="8">
        <v>0.67503881454467773</v>
      </c>
    </row>
    <row r="30" spans="1:5" x14ac:dyDescent="0.25">
      <c r="A30" s="7">
        <v>1957</v>
      </c>
      <c r="B30" s="8">
        <v>0.67212694883346558</v>
      </c>
      <c r="C30" s="8">
        <v>0.68779468536376953</v>
      </c>
      <c r="D30" s="8">
        <v>0.65934991836547852</v>
      </c>
      <c r="E30" s="8">
        <v>0.67501664161682129</v>
      </c>
    </row>
    <row r="31" spans="1:5" x14ac:dyDescent="0.25">
      <c r="A31" s="7">
        <v>1958</v>
      </c>
      <c r="B31" s="8">
        <v>0.6706358790397644</v>
      </c>
      <c r="C31" s="8">
        <v>0.68771106004714966</v>
      </c>
      <c r="D31" s="8">
        <v>0.6588822603225708</v>
      </c>
      <c r="E31" s="8">
        <v>0.67499446868896484</v>
      </c>
    </row>
    <row r="32" spans="1:5" x14ac:dyDescent="0.25">
      <c r="A32" s="7">
        <v>1959</v>
      </c>
      <c r="B32" s="8">
        <v>0.66249418258666992</v>
      </c>
      <c r="C32" s="8">
        <v>0.67966705560684204</v>
      </c>
      <c r="D32" s="8">
        <v>0.65841466188430786</v>
      </c>
      <c r="E32" s="8">
        <v>0.67497223615646362</v>
      </c>
    </row>
    <row r="33" spans="1:5" x14ac:dyDescent="0.25">
      <c r="A33" s="7">
        <v>1960</v>
      </c>
      <c r="B33" s="8">
        <v>0.67194467782974243</v>
      </c>
      <c r="C33" s="8">
        <v>0.69026339054107666</v>
      </c>
      <c r="D33" s="8">
        <v>0.65794706344604492</v>
      </c>
      <c r="E33" s="8">
        <v>0.67495006322860718</v>
      </c>
    </row>
    <row r="34" spans="1:5" x14ac:dyDescent="0.25">
      <c r="A34" s="7">
        <v>1961</v>
      </c>
      <c r="B34" s="8">
        <v>0.66896551847457886</v>
      </c>
      <c r="C34" s="8">
        <v>0.68885928392410278</v>
      </c>
      <c r="D34" s="8">
        <v>0.65747940540313721</v>
      </c>
      <c r="E34" s="8">
        <v>0.67492789030075073</v>
      </c>
    </row>
    <row r="35" spans="1:5" x14ac:dyDescent="0.25">
      <c r="A35" s="7">
        <v>1962</v>
      </c>
      <c r="B35" s="8">
        <v>0.66360366344451904</v>
      </c>
      <c r="C35" s="8">
        <v>0.68325787782669067</v>
      </c>
      <c r="D35" s="8">
        <v>0.65701180696487427</v>
      </c>
      <c r="E35" s="8">
        <v>0.67490571737289429</v>
      </c>
    </row>
    <row r="36" spans="1:5" x14ac:dyDescent="0.25">
      <c r="A36" s="7">
        <v>1963</v>
      </c>
      <c r="B36" s="8">
        <v>0.66125684976577759</v>
      </c>
      <c r="C36" s="8">
        <v>0.68157947063446045</v>
      </c>
      <c r="D36" s="8">
        <v>0.65654420852661133</v>
      </c>
      <c r="E36" s="8">
        <v>0.67488354444503784</v>
      </c>
    </row>
    <row r="37" spans="1:5" x14ac:dyDescent="0.25">
      <c r="A37" s="7">
        <v>1964</v>
      </c>
      <c r="B37" s="8">
        <v>0.65872460603713989</v>
      </c>
      <c r="C37" s="8">
        <v>0.67894548177719116</v>
      </c>
      <c r="D37" s="8">
        <v>0.65607661008834839</v>
      </c>
      <c r="E37" s="8">
        <v>0.6748613715171814</v>
      </c>
    </row>
    <row r="38" spans="1:5" x14ac:dyDescent="0.25">
      <c r="A38" s="7">
        <v>1965</v>
      </c>
      <c r="B38" s="8">
        <v>0.65292316675186157</v>
      </c>
      <c r="C38" s="8">
        <v>0.67353379726409912</v>
      </c>
      <c r="D38" s="8">
        <v>0.65560895204544067</v>
      </c>
      <c r="E38" s="8">
        <v>0.67483919858932495</v>
      </c>
    </row>
    <row r="39" spans="1:5" x14ac:dyDescent="0.25">
      <c r="A39" s="7">
        <v>1966</v>
      </c>
      <c r="B39" s="8">
        <v>0.65461963415145874</v>
      </c>
      <c r="C39" s="8">
        <v>0.67559027671813965</v>
      </c>
      <c r="D39" s="8">
        <v>0.65514135360717773</v>
      </c>
      <c r="E39" s="8">
        <v>0.67481702566146851</v>
      </c>
    </row>
    <row r="40" spans="1:5" x14ac:dyDescent="0.25">
      <c r="A40" s="7">
        <v>1967</v>
      </c>
      <c r="B40" s="8">
        <v>0.66327095031738281</v>
      </c>
      <c r="C40" s="8">
        <v>0.68525105714797974</v>
      </c>
      <c r="D40" s="8">
        <v>0.65467375516891479</v>
      </c>
      <c r="E40" s="8">
        <v>0.67479485273361206</v>
      </c>
    </row>
    <row r="41" spans="1:5" x14ac:dyDescent="0.25">
      <c r="A41" s="7">
        <v>1968</v>
      </c>
      <c r="B41" s="8">
        <v>0.66792500019073486</v>
      </c>
      <c r="C41" s="8">
        <v>0.69051647186279297</v>
      </c>
      <c r="D41" s="8">
        <v>0.65420609712600708</v>
      </c>
      <c r="E41" s="8">
        <v>0.67477262020111084</v>
      </c>
    </row>
    <row r="42" spans="1:5" x14ac:dyDescent="0.25">
      <c r="A42" s="7">
        <v>1969</v>
      </c>
      <c r="B42" s="8">
        <v>0.67870414257049561</v>
      </c>
      <c r="C42" s="8">
        <v>0.70210212469100952</v>
      </c>
      <c r="D42" s="8">
        <v>0.65373849868774414</v>
      </c>
      <c r="E42" s="8">
        <v>0.67475044727325439</v>
      </c>
    </row>
    <row r="43" spans="1:5" x14ac:dyDescent="0.25">
      <c r="A43" s="7">
        <v>1970</v>
      </c>
      <c r="B43" s="8">
        <v>0.68577396869659424</v>
      </c>
      <c r="C43" s="8">
        <v>0.70982801914215088</v>
      </c>
      <c r="D43" s="8">
        <v>0.6532709002494812</v>
      </c>
      <c r="E43" s="8">
        <v>0.67472827434539795</v>
      </c>
    </row>
    <row r="44" spans="1:5" x14ac:dyDescent="0.25">
      <c r="A44" s="7">
        <v>1971</v>
      </c>
      <c r="B44" s="8">
        <v>0.67498981952667236</v>
      </c>
      <c r="C44" s="8">
        <v>0.69823598861694336</v>
      </c>
      <c r="D44" s="8">
        <v>0.65280324220657349</v>
      </c>
      <c r="E44" s="8">
        <v>0.6747061014175415</v>
      </c>
    </row>
    <row r="45" spans="1:5" x14ac:dyDescent="0.25">
      <c r="A45" s="7">
        <v>1972</v>
      </c>
      <c r="B45" s="8">
        <v>0.67544102668762207</v>
      </c>
      <c r="C45" s="8">
        <v>0.69853854179382324</v>
      </c>
      <c r="D45" s="8">
        <v>0.65233564376831055</v>
      </c>
      <c r="E45" s="8">
        <v>0.67468392848968506</v>
      </c>
    </row>
    <row r="46" spans="1:5" x14ac:dyDescent="0.25">
      <c r="A46" s="7">
        <v>1973</v>
      </c>
      <c r="B46" s="8">
        <v>0.67674243450164795</v>
      </c>
      <c r="C46" s="8">
        <v>0.69957816600799561</v>
      </c>
      <c r="D46" s="8">
        <v>0.65186804533004761</v>
      </c>
      <c r="E46" s="8">
        <v>0.67466175556182861</v>
      </c>
    </row>
    <row r="47" spans="1:5" x14ac:dyDescent="0.25">
      <c r="A47" s="7">
        <v>1974</v>
      </c>
      <c r="B47" s="8">
        <v>0.67691022157669067</v>
      </c>
      <c r="C47" s="8">
        <v>0.70046555995941162</v>
      </c>
      <c r="D47" s="8">
        <v>0.65140044689178467</v>
      </c>
      <c r="E47" s="8">
        <v>0.67463958263397217</v>
      </c>
    </row>
    <row r="48" spans="1:5" x14ac:dyDescent="0.25">
      <c r="A48" s="7">
        <v>1975</v>
      </c>
      <c r="B48" s="8">
        <v>0.65965592861175537</v>
      </c>
      <c r="C48" s="8">
        <v>0.6825682520866394</v>
      </c>
      <c r="D48" s="8">
        <v>0.65093278884887695</v>
      </c>
      <c r="E48" s="8">
        <v>0.67461740970611572</v>
      </c>
    </row>
    <row r="49" spans="1:5" x14ac:dyDescent="0.25">
      <c r="A49" s="7">
        <v>1976</v>
      </c>
      <c r="B49" s="8">
        <v>0.65473735332489014</v>
      </c>
      <c r="C49" s="8">
        <v>0.67759031057357788</v>
      </c>
      <c r="D49" s="8">
        <v>0.65046519041061401</v>
      </c>
      <c r="E49" s="8">
        <v>0.6745951771736145</v>
      </c>
    </row>
    <row r="50" spans="1:5" x14ac:dyDescent="0.25">
      <c r="A50" s="7">
        <v>1977</v>
      </c>
      <c r="B50" s="8">
        <v>0.65321898460388184</v>
      </c>
      <c r="C50" s="8">
        <v>0.67563021183013916</v>
      </c>
      <c r="D50" s="8">
        <v>0.64999759197235107</v>
      </c>
      <c r="E50" s="8">
        <v>0.67457300424575806</v>
      </c>
    </row>
    <row r="51" spans="1:5" x14ac:dyDescent="0.25">
      <c r="A51" s="7">
        <v>1978</v>
      </c>
      <c r="B51" s="8">
        <v>0.65072143077850342</v>
      </c>
      <c r="C51" s="8">
        <v>0.6725572943687439</v>
      </c>
      <c r="D51" s="8">
        <v>0.64952993392944336</v>
      </c>
      <c r="E51" s="8">
        <v>0.67455083131790161</v>
      </c>
    </row>
    <row r="52" spans="1:5" x14ac:dyDescent="0.25">
      <c r="A52" s="7">
        <v>1979</v>
      </c>
      <c r="B52" s="8">
        <v>0.64894783496856689</v>
      </c>
      <c r="C52" s="8">
        <v>0.67142403125762939</v>
      </c>
      <c r="D52" s="8">
        <v>0.64906233549118042</v>
      </c>
      <c r="E52" s="8">
        <v>0.67452865839004517</v>
      </c>
    </row>
    <row r="53" spans="1:5" x14ac:dyDescent="0.25">
      <c r="A53" s="7">
        <v>1980</v>
      </c>
      <c r="B53" s="8">
        <v>0.65012824535369873</v>
      </c>
      <c r="C53" s="8">
        <v>0.67341941595077515</v>
      </c>
      <c r="D53" s="8">
        <v>0.64859473705291748</v>
      </c>
      <c r="E53" s="8">
        <v>0.67450648546218872</v>
      </c>
    </row>
    <row r="54" spans="1:5" x14ac:dyDescent="0.25">
      <c r="A54" s="7">
        <v>1981</v>
      </c>
      <c r="B54" s="8">
        <v>0.63944774866104126</v>
      </c>
      <c r="C54" s="8">
        <v>0.66334837675094604</v>
      </c>
      <c r="D54" s="8">
        <v>0.64812707901000977</v>
      </c>
      <c r="E54" s="8">
        <v>0.67448431253433228</v>
      </c>
    </row>
    <row r="55" spans="1:5" x14ac:dyDescent="0.25">
      <c r="A55" s="7">
        <v>1982</v>
      </c>
      <c r="B55" s="8">
        <v>0.64241355657577515</v>
      </c>
      <c r="C55" s="8">
        <v>0.66810190677642822</v>
      </c>
      <c r="D55" s="8">
        <v>0.64765948057174683</v>
      </c>
      <c r="E55" s="8">
        <v>0.67446213960647583</v>
      </c>
    </row>
    <row r="56" spans="1:5" x14ac:dyDescent="0.25">
      <c r="A56" s="7">
        <v>1983</v>
      </c>
      <c r="B56" s="8">
        <v>0.6277880072593689</v>
      </c>
      <c r="C56" s="8">
        <v>0.65345150232315063</v>
      </c>
      <c r="D56" s="8">
        <v>0.64719188213348389</v>
      </c>
      <c r="E56" s="8">
        <v>0.67443996667861938</v>
      </c>
    </row>
    <row r="57" spans="1:5" x14ac:dyDescent="0.25">
      <c r="A57" s="7">
        <v>1984</v>
      </c>
      <c r="B57" s="8">
        <v>0.62583667039871216</v>
      </c>
      <c r="C57" s="8">
        <v>0.65246450901031494</v>
      </c>
      <c r="D57" s="8">
        <v>0.64672422409057617</v>
      </c>
      <c r="E57" s="8">
        <v>0.67441779375076294</v>
      </c>
    </row>
    <row r="58" spans="1:5" x14ac:dyDescent="0.25">
      <c r="A58" s="7">
        <v>1985</v>
      </c>
      <c r="B58" s="8">
        <v>0.62639063596725464</v>
      </c>
      <c r="C58" s="8">
        <v>0.65369659662246704</v>
      </c>
      <c r="D58" s="8">
        <v>0.64625662565231323</v>
      </c>
      <c r="E58" s="8">
        <v>0.67439556121826172</v>
      </c>
    </row>
    <row r="59" spans="1:5" x14ac:dyDescent="0.25">
      <c r="A59" s="7">
        <v>1986</v>
      </c>
      <c r="B59" s="8">
        <v>0.63164037466049194</v>
      </c>
      <c r="C59" s="8">
        <v>0.65973734855651855</v>
      </c>
      <c r="D59" s="8">
        <v>0.64578902721405029</v>
      </c>
      <c r="E59" s="8">
        <v>0.67437338829040527</v>
      </c>
    </row>
    <row r="60" spans="1:5" x14ac:dyDescent="0.25">
      <c r="A60" s="7">
        <v>1987</v>
      </c>
      <c r="B60" s="8">
        <v>0.64033865928649902</v>
      </c>
      <c r="C60" s="8">
        <v>0.66915738582611084</v>
      </c>
      <c r="D60" s="8">
        <v>0.64532142877578735</v>
      </c>
      <c r="E60" s="8">
        <v>0.67435121536254883</v>
      </c>
    </row>
    <row r="61" spans="1:5" x14ac:dyDescent="0.25">
      <c r="A61" s="7">
        <v>1988</v>
      </c>
      <c r="B61" s="8">
        <v>0.64565587043762207</v>
      </c>
      <c r="C61" s="8">
        <v>0.67548060417175293</v>
      </c>
      <c r="D61" s="8">
        <v>0.64485377073287964</v>
      </c>
      <c r="E61" s="8">
        <v>0.67432904243469238</v>
      </c>
    </row>
    <row r="62" spans="1:5" x14ac:dyDescent="0.25">
      <c r="A62" s="7">
        <v>1989</v>
      </c>
      <c r="B62" s="8">
        <v>0.63696491718292236</v>
      </c>
      <c r="C62" s="8">
        <v>0.66734683513641357</v>
      </c>
      <c r="D62" s="8">
        <v>0.6443861722946167</v>
      </c>
      <c r="E62" s="8">
        <v>0.67430686950683594</v>
      </c>
    </row>
    <row r="63" spans="1:5" x14ac:dyDescent="0.25">
      <c r="A63" s="7">
        <v>1990</v>
      </c>
      <c r="B63" s="8">
        <v>0.64091789722442627</v>
      </c>
      <c r="C63" s="8">
        <v>0.67231559753417969</v>
      </c>
      <c r="D63" s="8">
        <v>0.64391857385635376</v>
      </c>
      <c r="E63" s="8">
        <v>0.67428469657897949</v>
      </c>
    </row>
    <row r="64" spans="1:5" x14ac:dyDescent="0.25">
      <c r="A64" s="7">
        <v>1991</v>
      </c>
      <c r="B64" s="8">
        <v>0.64203709363937378</v>
      </c>
      <c r="C64" s="8">
        <v>0.67499363422393799</v>
      </c>
      <c r="D64" s="8">
        <v>0.64345091581344604</v>
      </c>
      <c r="E64" s="8">
        <v>0.67426252365112305</v>
      </c>
    </row>
    <row r="65" spans="1:5" x14ac:dyDescent="0.25">
      <c r="A65" s="7">
        <v>1992</v>
      </c>
      <c r="B65" s="8">
        <v>0.64731419086456299</v>
      </c>
      <c r="C65" s="8">
        <v>0.68010234832763672</v>
      </c>
      <c r="D65" s="8">
        <v>0.64298331737518311</v>
      </c>
      <c r="E65" s="8">
        <v>0.6742403507232666</v>
      </c>
    </row>
    <row r="66" spans="1:5" x14ac:dyDescent="0.25">
      <c r="A66" s="7">
        <v>1993</v>
      </c>
      <c r="B66" s="8">
        <v>0.64003551006317139</v>
      </c>
      <c r="C66" s="8">
        <v>0.67214268445968628</v>
      </c>
      <c r="D66" s="8">
        <v>0.64251571893692017</v>
      </c>
      <c r="E66" s="8">
        <v>0.67421817779541016</v>
      </c>
    </row>
    <row r="67" spans="1:5" x14ac:dyDescent="0.25">
      <c r="A67" s="7">
        <v>1994</v>
      </c>
      <c r="B67" s="8">
        <v>0.63410305976867676</v>
      </c>
      <c r="C67" s="8">
        <v>0.66520547866821289</v>
      </c>
      <c r="D67" s="8">
        <v>0.64204806089401245</v>
      </c>
      <c r="E67" s="8">
        <v>0.67419594526290894</v>
      </c>
    </row>
    <row r="68" spans="1:5" x14ac:dyDescent="0.25">
      <c r="A68" s="7">
        <v>1995</v>
      </c>
      <c r="B68" s="8">
        <v>0.63268226385116577</v>
      </c>
      <c r="C68" s="8">
        <v>0.66474014520645142</v>
      </c>
      <c r="D68" s="8">
        <v>0.64158046245574951</v>
      </c>
      <c r="E68" s="8">
        <v>0.67417377233505249</v>
      </c>
    </row>
    <row r="69" spans="1:5" x14ac:dyDescent="0.25">
      <c r="A69" s="7">
        <v>1996</v>
      </c>
      <c r="B69" s="8">
        <v>0.63245844841003418</v>
      </c>
      <c r="C69" s="8">
        <v>0.66549646854400635</v>
      </c>
      <c r="D69" s="8">
        <v>0.64111286401748657</v>
      </c>
      <c r="E69" s="8">
        <v>0.67415159940719604</v>
      </c>
    </row>
    <row r="70" spans="1:5" x14ac:dyDescent="0.25">
      <c r="A70" s="7">
        <v>1997</v>
      </c>
      <c r="B70" s="8">
        <v>0.63496863842010498</v>
      </c>
      <c r="C70" s="8">
        <v>0.66956746578216553</v>
      </c>
      <c r="D70" s="8">
        <v>0.64064520597457886</v>
      </c>
      <c r="E70" s="8">
        <v>0.6741294264793396</v>
      </c>
    </row>
    <row r="71" spans="1:5" x14ac:dyDescent="0.25">
      <c r="A71" s="7">
        <v>1998</v>
      </c>
      <c r="B71" s="8">
        <v>0.64851975440979004</v>
      </c>
      <c r="C71" s="8">
        <v>0.68482106924057007</v>
      </c>
      <c r="D71" s="8">
        <v>0.64017760753631592</v>
      </c>
      <c r="E71" s="8">
        <v>0.67410725355148315</v>
      </c>
    </row>
    <row r="72" spans="1:5" x14ac:dyDescent="0.25">
      <c r="A72" s="7">
        <v>1999</v>
      </c>
      <c r="B72" s="8">
        <v>0.65047734975814819</v>
      </c>
      <c r="C72" s="8">
        <v>0.6890447735786438</v>
      </c>
      <c r="D72" s="8">
        <v>0.63971000909805298</v>
      </c>
      <c r="E72" s="8">
        <v>0.67408508062362671</v>
      </c>
    </row>
    <row r="73" spans="1:5" x14ac:dyDescent="0.25">
      <c r="A73" s="7">
        <v>2000</v>
      </c>
      <c r="B73" s="8">
        <v>0.66187924146652222</v>
      </c>
      <c r="C73" s="8">
        <v>0.70292198657989502</v>
      </c>
      <c r="D73" s="8">
        <v>0.63924241065979004</v>
      </c>
      <c r="E73" s="8">
        <v>0.67406290769577026</v>
      </c>
    </row>
    <row r="74" spans="1:5" x14ac:dyDescent="0.25">
      <c r="A74" s="7">
        <v>2001</v>
      </c>
      <c r="B74" s="8">
        <v>0.66496729850769043</v>
      </c>
      <c r="C74" s="8">
        <v>0.70552706718444824</v>
      </c>
      <c r="D74" s="8">
        <v>0.63877475261688232</v>
      </c>
      <c r="E74" s="8">
        <v>0.67404073476791382</v>
      </c>
    </row>
    <row r="75" spans="1:5" x14ac:dyDescent="0.25">
      <c r="A75" s="7">
        <v>2002</v>
      </c>
      <c r="B75" s="8">
        <v>0.65635424852371216</v>
      </c>
      <c r="C75" s="8">
        <v>0.69463026523590088</v>
      </c>
      <c r="D75" s="8">
        <v>0.63830715417861938</v>
      </c>
      <c r="E75" s="8">
        <v>0.6740185022354126</v>
      </c>
    </row>
    <row r="76" spans="1:5" x14ac:dyDescent="0.25">
      <c r="A76" s="7">
        <v>2003</v>
      </c>
      <c r="B76" s="8">
        <v>0.648060142993927</v>
      </c>
      <c r="C76" s="8">
        <v>0.68518155813217163</v>
      </c>
      <c r="D76" s="8">
        <v>0.63783955574035645</v>
      </c>
      <c r="E76" s="8">
        <v>0.67399632930755615</v>
      </c>
    </row>
    <row r="77" spans="1:5" x14ac:dyDescent="0.25">
      <c r="A77" s="7">
        <v>2004</v>
      </c>
      <c r="B77" s="8">
        <v>0.64430487155914307</v>
      </c>
      <c r="C77" s="8">
        <v>0.68060606718063354</v>
      </c>
      <c r="D77" s="8">
        <v>0.63737189769744873</v>
      </c>
      <c r="E77" s="8">
        <v>0.67397415637969971</v>
      </c>
    </row>
    <row r="78" spans="1:5" x14ac:dyDescent="0.25">
      <c r="A78" s="7">
        <v>2005</v>
      </c>
      <c r="B78" s="8">
        <v>0.63223916292190552</v>
      </c>
      <c r="C78" s="8">
        <v>0.66801536083221436</v>
      </c>
      <c r="D78" s="8">
        <v>0.63690429925918579</v>
      </c>
      <c r="E78" s="8">
        <v>0.67395198345184326</v>
      </c>
    </row>
    <row r="79" spans="1:5" x14ac:dyDescent="0.25">
      <c r="A79" s="7">
        <v>2006</v>
      </c>
      <c r="B79" s="8">
        <v>0.63284403085708618</v>
      </c>
      <c r="C79" s="8">
        <v>0.66899508237838745</v>
      </c>
      <c r="D79" s="8">
        <v>0.63643670082092285</v>
      </c>
      <c r="E79" s="8">
        <v>0.67392981052398682</v>
      </c>
    </row>
    <row r="80" spans="1:5" x14ac:dyDescent="0.25">
      <c r="A80" s="7">
        <v>2007</v>
      </c>
      <c r="B80" s="8">
        <v>0.63153970241546631</v>
      </c>
      <c r="C80" s="8">
        <v>0.66822433471679688</v>
      </c>
      <c r="D80" s="8">
        <v>0.63596904277801514</v>
      </c>
      <c r="E80" s="8">
        <v>0.67390763759613037</v>
      </c>
    </row>
    <row r="81" spans="1:5" x14ac:dyDescent="0.25">
      <c r="A81" s="7">
        <v>2008</v>
      </c>
      <c r="B81" s="8">
        <v>0.63168376684188843</v>
      </c>
      <c r="C81" s="8">
        <v>0.66956979036331177</v>
      </c>
      <c r="D81" s="8">
        <v>0.6355014443397522</v>
      </c>
      <c r="E81" s="8">
        <v>0.67388546466827393</v>
      </c>
    </row>
    <row r="82" spans="1:5" x14ac:dyDescent="0.25">
      <c r="A82" s="7">
        <v>2009</v>
      </c>
      <c r="B82" s="8">
        <v>0.61860638856887817</v>
      </c>
      <c r="C82" s="8">
        <v>0.65598785877227783</v>
      </c>
      <c r="D82" s="8">
        <v>0.63503384590148926</v>
      </c>
      <c r="E82" s="8">
        <v>0.67386329174041748</v>
      </c>
    </row>
    <row r="83" spans="1:5" x14ac:dyDescent="0.25">
      <c r="A83" s="7">
        <v>2010</v>
      </c>
      <c r="B83" s="8">
        <v>0.61547362804412842</v>
      </c>
      <c r="C83" s="8">
        <v>0.65271180868148804</v>
      </c>
      <c r="D83" s="8">
        <v>0.63456618785858154</v>
      </c>
      <c r="E83" s="8">
        <v>0.67384111881256104</v>
      </c>
    </row>
    <row r="84" spans="1:5" x14ac:dyDescent="0.25">
      <c r="A84" s="7">
        <v>2011</v>
      </c>
      <c r="B84" s="8">
        <v>0.61990565061569214</v>
      </c>
      <c r="C84" s="8">
        <v>0.65891546010971069</v>
      </c>
      <c r="D84" s="8">
        <v>0.6340985894203186</v>
      </c>
      <c r="E84" s="8">
        <v>0.67381888628005981</v>
      </c>
    </row>
    <row r="85" spans="1:5" x14ac:dyDescent="0.25">
      <c r="A85" s="7">
        <v>2012</v>
      </c>
      <c r="B85" s="8">
        <v>0.6220555305480957</v>
      </c>
      <c r="C85" s="8">
        <v>0.6615978479385376</v>
      </c>
      <c r="D85" s="8">
        <v>0.63363099098205566</v>
      </c>
      <c r="E85" s="8">
        <v>0.67379671335220337</v>
      </c>
    </row>
    <row r="86" spans="1:5" x14ac:dyDescent="0.25">
      <c r="A86" s="7">
        <v>2013</v>
      </c>
      <c r="B86" s="8">
        <v>0.61984378099441528</v>
      </c>
      <c r="C86" s="8">
        <v>0.65986943244934082</v>
      </c>
      <c r="D86" s="8">
        <v>0.63316339254379272</v>
      </c>
      <c r="E86" s="8">
        <v>0.67377454042434692</v>
      </c>
    </row>
    <row r="87" spans="1:5" x14ac:dyDescent="0.25">
      <c r="A87" s="7">
        <v>2014</v>
      </c>
      <c r="B87" s="8">
        <v>0.62087410688400269</v>
      </c>
      <c r="C87" s="8">
        <v>0.66122144460678101</v>
      </c>
      <c r="D87" s="8">
        <v>0.63269573450088501</v>
      </c>
      <c r="E87" s="8">
        <v>0.67375236749649048</v>
      </c>
    </row>
    <row r="88" spans="1:5" x14ac:dyDescent="0.25">
      <c r="A88" s="7">
        <v>2015</v>
      </c>
      <c r="B88" s="8">
        <v>0.62236565351486206</v>
      </c>
      <c r="C88" s="8">
        <v>0.66252678632736206</v>
      </c>
      <c r="D88" s="8">
        <v>0.63222813606262207</v>
      </c>
      <c r="E88" s="8">
        <v>0.67373019456863403</v>
      </c>
    </row>
    <row r="89" spans="1:5" x14ac:dyDescent="0.25">
      <c r="A89" s="7">
        <v>2016</v>
      </c>
      <c r="B89" s="8">
        <v>0.62095469236373901</v>
      </c>
      <c r="C89" s="8">
        <v>0.66201192140579224</v>
      </c>
      <c r="D89" s="8">
        <v>0.63176053762435913</v>
      </c>
      <c r="E89" s="8">
        <v>0.67370802164077759</v>
      </c>
    </row>
    <row r="90" spans="1:5" x14ac:dyDescent="0.25">
      <c r="A90" s="7">
        <v>2017</v>
      </c>
      <c r="B90" s="8">
        <v>0.62353122234344482</v>
      </c>
      <c r="C90" s="8">
        <v>0.66504424810409546</v>
      </c>
      <c r="D90" s="8">
        <v>0.63129287958145142</v>
      </c>
      <c r="E90" s="8">
        <v>0.67368584871292114</v>
      </c>
    </row>
    <row r="91" spans="1:5" x14ac:dyDescent="0.25">
      <c r="A91" s="7">
        <v>2018</v>
      </c>
      <c r="B91" s="8">
        <v>0.62044399976730347</v>
      </c>
      <c r="C91" s="8">
        <v>0.66285562515258789</v>
      </c>
      <c r="D91" s="8">
        <v>0.63082528114318848</v>
      </c>
      <c r="E91" s="8">
        <v>0.6736636757850647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7E41E-F41A-40F5-9813-B405E42B42CE}">
  <dimension ref="A1:E79"/>
  <sheetViews>
    <sheetView workbookViewId="0">
      <selection activeCell="H81" sqref="H81"/>
    </sheetView>
  </sheetViews>
  <sheetFormatPr defaultRowHeight="15" x14ac:dyDescent="0.25"/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>
        <v>1947</v>
      </c>
      <c r="B2" s="5">
        <v>11.41</v>
      </c>
      <c r="C2" s="5">
        <v>11.808999999999999</v>
      </c>
      <c r="D2" s="5">
        <v>16.646999999999998</v>
      </c>
      <c r="E2">
        <f>D2/B2*(B$35/D$35)</f>
        <v>0.97520658187603326</v>
      </c>
    </row>
    <row r="3" spans="1:5" x14ac:dyDescent="0.25">
      <c r="A3">
        <v>1948</v>
      </c>
      <c r="B3" s="5">
        <v>12.057</v>
      </c>
      <c r="C3" s="5">
        <v>12.477</v>
      </c>
      <c r="D3" s="5">
        <v>18</v>
      </c>
      <c r="E3">
        <f t="shared" ref="E3:E66" si="0">D3/B3*(B$35/D$35)</f>
        <v>0.99788279049945616</v>
      </c>
    </row>
    <row r="4" spans="1:5" x14ac:dyDescent="0.25">
      <c r="A4">
        <v>1949</v>
      </c>
      <c r="B4" s="5">
        <v>12.052</v>
      </c>
      <c r="C4" s="5">
        <v>12.379</v>
      </c>
      <c r="D4" s="5">
        <v>18.224</v>
      </c>
      <c r="E4">
        <f t="shared" si="0"/>
        <v>1.0107200298671803</v>
      </c>
    </row>
    <row r="5" spans="1:5" x14ac:dyDescent="0.25">
      <c r="A5">
        <v>1950</v>
      </c>
      <c r="B5" s="5">
        <v>12.166</v>
      </c>
      <c r="C5" s="5">
        <v>12.526999999999999</v>
      </c>
      <c r="D5" s="5">
        <v>18.599</v>
      </c>
      <c r="E5">
        <f t="shared" si="0"/>
        <v>1.021852168617281</v>
      </c>
    </row>
    <row r="6" spans="1:5" x14ac:dyDescent="0.25">
      <c r="A6">
        <v>1951</v>
      </c>
      <c r="B6" s="5">
        <v>12.991</v>
      </c>
      <c r="C6" s="5">
        <v>13.38</v>
      </c>
      <c r="D6" s="5">
        <v>20.256</v>
      </c>
      <c r="E6">
        <f t="shared" si="0"/>
        <v>1.0422151794795209</v>
      </c>
    </row>
    <row r="7" spans="1:5" x14ac:dyDescent="0.25">
      <c r="A7">
        <v>1952</v>
      </c>
      <c r="B7" s="5">
        <v>13.273999999999999</v>
      </c>
      <c r="C7" s="5">
        <v>13.654</v>
      </c>
      <c r="D7" s="5">
        <v>20.62</v>
      </c>
      <c r="E7">
        <f t="shared" si="0"/>
        <v>1.038324582894594</v>
      </c>
    </row>
    <row r="8" spans="1:5" x14ac:dyDescent="0.25">
      <c r="A8">
        <v>1953</v>
      </c>
      <c r="B8" s="5">
        <v>13.444000000000001</v>
      </c>
      <c r="C8" s="5">
        <v>13.834</v>
      </c>
      <c r="D8" s="5">
        <v>20.684000000000001</v>
      </c>
      <c r="E8">
        <f t="shared" si="0"/>
        <v>1.0283769029542067</v>
      </c>
    </row>
    <row r="9" spans="1:5" x14ac:dyDescent="0.25">
      <c r="A9">
        <v>1954</v>
      </c>
      <c r="B9" s="5">
        <v>13.581</v>
      </c>
      <c r="C9" s="5">
        <v>13.95</v>
      </c>
      <c r="D9" s="5">
        <v>20.824999999999999</v>
      </c>
      <c r="E9">
        <f t="shared" si="0"/>
        <v>1.0249426124946075</v>
      </c>
    </row>
    <row r="10" spans="1:5" x14ac:dyDescent="0.25">
      <c r="A10">
        <v>1955</v>
      </c>
      <c r="B10" s="5">
        <v>13.773</v>
      </c>
      <c r="C10" s="5">
        <v>14.005000000000001</v>
      </c>
      <c r="D10" s="5">
        <v>21.132000000000001</v>
      </c>
      <c r="E10">
        <f t="shared" si="0"/>
        <v>1.0255535521041881</v>
      </c>
    </row>
    <row r="11" spans="1:5" x14ac:dyDescent="0.25">
      <c r="A11">
        <v>1956</v>
      </c>
      <c r="B11" s="5">
        <v>14.244</v>
      </c>
      <c r="C11" s="5">
        <v>14.284000000000001</v>
      </c>
      <c r="D11" s="5">
        <v>22.34</v>
      </c>
      <c r="E11">
        <f t="shared" si="0"/>
        <v>1.0483287406192878</v>
      </c>
    </row>
    <row r="12" spans="1:5" x14ac:dyDescent="0.25">
      <c r="A12">
        <v>1957</v>
      </c>
      <c r="B12" s="5">
        <v>14.742000000000001</v>
      </c>
      <c r="C12" s="5">
        <v>14.718</v>
      </c>
      <c r="D12" s="5">
        <v>23.082999999999998</v>
      </c>
      <c r="E12">
        <f t="shared" si="0"/>
        <v>1.0466033809637394</v>
      </c>
    </row>
    <row r="13" spans="1:5" x14ac:dyDescent="0.25">
      <c r="A13">
        <v>1958</v>
      </c>
      <c r="B13" s="5">
        <v>15.086</v>
      </c>
      <c r="C13" s="5">
        <v>15.066000000000001</v>
      </c>
      <c r="D13" s="5">
        <v>23.161999999999999</v>
      </c>
      <c r="E13">
        <f t="shared" si="0"/>
        <v>1.0262383560571726</v>
      </c>
    </row>
    <row r="14" spans="1:5" x14ac:dyDescent="0.25">
      <c r="A14">
        <v>1959</v>
      </c>
      <c r="B14" s="5">
        <v>15.285</v>
      </c>
      <c r="C14" s="5">
        <v>15.29</v>
      </c>
      <c r="D14" s="5">
        <v>23.381</v>
      </c>
      <c r="E14">
        <f t="shared" si="0"/>
        <v>1.0224543512336697</v>
      </c>
    </row>
    <row r="15" spans="1:5" x14ac:dyDescent="0.25">
      <c r="A15">
        <v>1960</v>
      </c>
      <c r="B15" s="5">
        <v>15.494</v>
      </c>
      <c r="C15" s="5">
        <v>15.541</v>
      </c>
      <c r="D15" s="5">
        <v>23.515999999999998</v>
      </c>
      <c r="E15">
        <f t="shared" si="0"/>
        <v>1.0144863046756505</v>
      </c>
    </row>
    <row r="16" spans="1:5" x14ac:dyDescent="0.25">
      <c r="A16">
        <v>1961</v>
      </c>
      <c r="B16" s="5">
        <v>15.659000000000001</v>
      </c>
      <c r="C16" s="5">
        <v>15.702</v>
      </c>
      <c r="D16" s="5">
        <v>23.471</v>
      </c>
      <c r="E16">
        <f t="shared" si="0"/>
        <v>1.0018757342507121</v>
      </c>
    </row>
    <row r="17" spans="1:5" x14ac:dyDescent="0.25">
      <c r="A17">
        <v>1962</v>
      </c>
      <c r="B17" s="5">
        <v>15.849</v>
      </c>
      <c r="C17" s="5">
        <v>15.885999999999999</v>
      </c>
      <c r="D17" s="5">
        <v>23.495999999999999</v>
      </c>
      <c r="E17">
        <f t="shared" si="0"/>
        <v>0.99091945873732123</v>
      </c>
    </row>
    <row r="18" spans="1:5" x14ac:dyDescent="0.25">
      <c r="A18">
        <v>1963</v>
      </c>
      <c r="B18" s="5">
        <v>16.03</v>
      </c>
      <c r="C18" s="5">
        <v>16.077000000000002</v>
      </c>
      <c r="D18" s="5">
        <v>23.431999999999999</v>
      </c>
      <c r="E18">
        <f t="shared" si="0"/>
        <v>0.97706200446377323</v>
      </c>
    </row>
    <row r="19" spans="1:5" x14ac:dyDescent="0.25">
      <c r="A19">
        <v>1964</v>
      </c>
      <c r="B19" s="5">
        <v>16.274999999999999</v>
      </c>
      <c r="C19" s="5">
        <v>16.309000000000001</v>
      </c>
      <c r="D19" s="5">
        <v>23.584</v>
      </c>
      <c r="E19">
        <f t="shared" si="0"/>
        <v>0.96859619264156027</v>
      </c>
    </row>
    <row r="20" spans="1:5" x14ac:dyDescent="0.25">
      <c r="A20">
        <v>1965</v>
      </c>
      <c r="B20" s="5">
        <v>16.571999999999999</v>
      </c>
      <c r="C20" s="5">
        <v>16.544</v>
      </c>
      <c r="D20" s="5">
        <v>23.946999999999999</v>
      </c>
      <c r="E20">
        <f t="shared" si="0"/>
        <v>0.96587845382632997</v>
      </c>
    </row>
    <row r="21" spans="1:5" x14ac:dyDescent="0.25">
      <c r="A21">
        <v>1966</v>
      </c>
      <c r="B21" s="5">
        <v>17.036999999999999</v>
      </c>
      <c r="C21" s="5">
        <v>16.962</v>
      </c>
      <c r="D21" s="5">
        <v>24.437000000000001</v>
      </c>
      <c r="E21">
        <f t="shared" si="0"/>
        <v>0.95874045683921394</v>
      </c>
    </row>
    <row r="22" spans="1:5" x14ac:dyDescent="0.25">
      <c r="A22">
        <v>1967</v>
      </c>
      <c r="B22" s="5">
        <v>17.530999999999999</v>
      </c>
      <c r="C22" s="5">
        <v>17.388999999999999</v>
      </c>
      <c r="D22" s="5">
        <v>25.062999999999999</v>
      </c>
      <c r="E22">
        <f t="shared" si="0"/>
        <v>0.95559232506549319</v>
      </c>
    </row>
    <row r="23" spans="1:5" x14ac:dyDescent="0.25">
      <c r="A23">
        <v>1968</v>
      </c>
      <c r="B23" s="5">
        <v>18.277000000000001</v>
      </c>
      <c r="C23" s="5">
        <v>18.068999999999999</v>
      </c>
      <c r="D23" s="5">
        <v>26.004999999999999</v>
      </c>
      <c r="E23">
        <f t="shared" si="0"/>
        <v>0.95103879890139931</v>
      </c>
    </row>
    <row r="24" spans="1:5" x14ac:dyDescent="0.25">
      <c r="A24">
        <v>1969</v>
      </c>
      <c r="B24" s="5">
        <v>19.175000000000001</v>
      </c>
      <c r="C24" s="5">
        <v>18.882999999999999</v>
      </c>
      <c r="D24" s="5">
        <v>27.251999999999999</v>
      </c>
      <c r="E24">
        <f t="shared" si="0"/>
        <v>0.94996870022678703</v>
      </c>
    </row>
    <row r="25" spans="1:5" x14ac:dyDescent="0.25">
      <c r="A25">
        <v>1970</v>
      </c>
      <c r="B25" s="5">
        <v>20.186</v>
      </c>
      <c r="C25" s="5">
        <v>19.765999999999998</v>
      </c>
      <c r="D25" s="5">
        <v>28.423999999999999</v>
      </c>
      <c r="E25">
        <f t="shared" si="0"/>
        <v>0.94119847366931009</v>
      </c>
    </row>
    <row r="26" spans="1:5" x14ac:dyDescent="0.25">
      <c r="A26">
        <v>1971</v>
      </c>
      <c r="B26" s="5">
        <v>21.210999999999999</v>
      </c>
      <c r="C26" s="5">
        <v>20.605</v>
      </c>
      <c r="D26" s="5">
        <v>29.832000000000001</v>
      </c>
      <c r="E26">
        <f t="shared" si="0"/>
        <v>0.94008584832898456</v>
      </c>
    </row>
    <row r="27" spans="1:5" x14ac:dyDescent="0.25">
      <c r="A27">
        <v>1972</v>
      </c>
      <c r="B27" s="5">
        <v>22.128</v>
      </c>
      <c r="C27" s="5">
        <v>21.308</v>
      </c>
      <c r="D27" s="5">
        <v>31.076000000000001</v>
      </c>
      <c r="E27">
        <f t="shared" si="0"/>
        <v>0.93870523240990356</v>
      </c>
    </row>
    <row r="28" spans="1:5" x14ac:dyDescent="0.25">
      <c r="A28">
        <v>1973</v>
      </c>
      <c r="B28" s="5">
        <v>23.34</v>
      </c>
      <c r="C28" s="5">
        <v>22.454999999999998</v>
      </c>
      <c r="D28" s="5">
        <v>32.770000000000003</v>
      </c>
      <c r="E28">
        <f t="shared" si="0"/>
        <v>0.93847320723020156</v>
      </c>
    </row>
    <row r="29" spans="1:5" x14ac:dyDescent="0.25">
      <c r="A29">
        <v>1974</v>
      </c>
      <c r="B29" s="5">
        <v>25.434000000000001</v>
      </c>
      <c r="C29" s="5">
        <v>24.792999999999999</v>
      </c>
      <c r="D29" s="5">
        <v>36.037999999999997</v>
      </c>
      <c r="E29">
        <f t="shared" si="0"/>
        <v>0.94709229323054422</v>
      </c>
    </row>
    <row r="30" spans="1:5" x14ac:dyDescent="0.25">
      <c r="A30">
        <v>1975</v>
      </c>
      <c r="B30" s="5">
        <v>27.795999999999999</v>
      </c>
      <c r="C30" s="5">
        <v>26.86</v>
      </c>
      <c r="D30" s="5">
        <v>40.356000000000002</v>
      </c>
      <c r="E30">
        <f t="shared" si="0"/>
        <v>0.97044761940302415</v>
      </c>
    </row>
    <row r="31" spans="1:5" x14ac:dyDescent="0.25">
      <c r="A31">
        <v>1976</v>
      </c>
      <c r="B31" s="5">
        <v>29.327000000000002</v>
      </c>
      <c r="C31" s="5">
        <v>28.332999999999998</v>
      </c>
      <c r="D31" s="5">
        <v>42.587000000000003</v>
      </c>
      <c r="E31">
        <f t="shared" si="0"/>
        <v>0.97063444067231774</v>
      </c>
    </row>
    <row r="32" spans="1:5" x14ac:dyDescent="0.25">
      <c r="A32">
        <v>1977</v>
      </c>
      <c r="B32" s="5">
        <v>31.148</v>
      </c>
      <c r="C32" s="5">
        <v>30.175999999999998</v>
      </c>
      <c r="D32" s="5">
        <v>45.725000000000001</v>
      </c>
      <c r="E32">
        <f t="shared" si="0"/>
        <v>0.98122778350491591</v>
      </c>
    </row>
    <row r="33" spans="1:5" x14ac:dyDescent="0.25">
      <c r="A33">
        <v>1978</v>
      </c>
      <c r="B33" s="5">
        <v>33.338999999999999</v>
      </c>
      <c r="C33" s="5">
        <v>32.276000000000003</v>
      </c>
      <c r="D33" s="5">
        <v>49.430999999999997</v>
      </c>
      <c r="E33">
        <f t="shared" si="0"/>
        <v>0.99104440949459027</v>
      </c>
    </row>
    <row r="34" spans="1:5" x14ac:dyDescent="0.25">
      <c r="A34">
        <v>1979</v>
      </c>
      <c r="B34" s="5">
        <v>36.103999999999999</v>
      </c>
      <c r="C34" s="5">
        <v>35.143000000000001</v>
      </c>
      <c r="D34" s="5">
        <v>53.866999999999997</v>
      </c>
      <c r="E34">
        <f t="shared" si="0"/>
        <v>0.99727230222218088</v>
      </c>
    </row>
    <row r="35" spans="1:5" x14ac:dyDescent="0.25">
      <c r="A35">
        <v>1980</v>
      </c>
      <c r="B35" s="5">
        <v>39.375</v>
      </c>
      <c r="C35" s="5">
        <v>38.927999999999997</v>
      </c>
      <c r="D35" s="5">
        <v>58.908000000000001</v>
      </c>
      <c r="E35">
        <f t="shared" si="0"/>
        <v>1</v>
      </c>
    </row>
    <row r="36" spans="1:5" x14ac:dyDescent="0.25">
      <c r="A36">
        <v>1981</v>
      </c>
      <c r="B36" s="5">
        <v>43.091999999999999</v>
      </c>
      <c r="C36" s="5">
        <v>42.414999999999999</v>
      </c>
      <c r="D36" s="5">
        <v>64.403999999999996</v>
      </c>
      <c r="E36">
        <f t="shared" si="0"/>
        <v>0.99899307751962907</v>
      </c>
    </row>
    <row r="37" spans="1:5" x14ac:dyDescent="0.25">
      <c r="A37">
        <v>1982</v>
      </c>
      <c r="B37" s="5">
        <v>45.756</v>
      </c>
      <c r="C37" s="5">
        <v>44.771000000000001</v>
      </c>
      <c r="D37" s="5">
        <v>67.816999999999993</v>
      </c>
      <c r="E37">
        <f t="shared" si="0"/>
        <v>0.99068779227521786</v>
      </c>
    </row>
    <row r="38" spans="1:5" x14ac:dyDescent="0.25">
      <c r="A38">
        <v>1983</v>
      </c>
      <c r="B38" s="5">
        <v>47.545000000000002</v>
      </c>
      <c r="C38" s="5">
        <v>46.676000000000002</v>
      </c>
      <c r="D38" s="5">
        <v>68.025000000000006</v>
      </c>
      <c r="E38">
        <f t="shared" si="0"/>
        <v>0.95633486120010114</v>
      </c>
    </row>
    <row r="39" spans="1:5" x14ac:dyDescent="0.25">
      <c r="A39">
        <v>1984</v>
      </c>
      <c r="B39" s="5">
        <v>49.262</v>
      </c>
      <c r="C39" s="5">
        <v>48.439</v>
      </c>
      <c r="D39" s="5">
        <v>68.757999999999996</v>
      </c>
      <c r="E39">
        <f t="shared" si="0"/>
        <v>0.93294809965057757</v>
      </c>
    </row>
    <row r="40" spans="1:5" x14ac:dyDescent="0.25">
      <c r="A40">
        <v>1985</v>
      </c>
      <c r="B40" s="5">
        <v>50.82</v>
      </c>
      <c r="C40" s="5">
        <v>50.128</v>
      </c>
      <c r="D40" s="5">
        <v>69.608999999999995</v>
      </c>
      <c r="E40">
        <f t="shared" si="0"/>
        <v>0.9155393660488661</v>
      </c>
    </row>
    <row r="41" spans="1:5" x14ac:dyDescent="0.25">
      <c r="A41">
        <v>1986</v>
      </c>
      <c r="B41" s="5">
        <v>51.85</v>
      </c>
      <c r="C41" s="5">
        <v>51.219000000000001</v>
      </c>
      <c r="D41" s="5">
        <v>71.174000000000007</v>
      </c>
      <c r="E41">
        <f t="shared" si="0"/>
        <v>0.91752710321093667</v>
      </c>
    </row>
    <row r="42" spans="1:5" x14ac:dyDescent="0.25">
      <c r="A42">
        <v>1987</v>
      </c>
      <c r="B42" s="5">
        <v>53.125999999999998</v>
      </c>
      <c r="C42" s="5">
        <v>52.802</v>
      </c>
      <c r="D42" s="5">
        <v>72.656000000000006</v>
      </c>
      <c r="E42">
        <f t="shared" si="0"/>
        <v>0.91413566920973433</v>
      </c>
    </row>
    <row r="43" spans="1:5" x14ac:dyDescent="0.25">
      <c r="A43">
        <v>1988</v>
      </c>
      <c r="B43" s="5">
        <v>55.002000000000002</v>
      </c>
      <c r="C43" s="5">
        <v>54.865000000000002</v>
      </c>
      <c r="D43" s="5">
        <v>74.483000000000004</v>
      </c>
      <c r="E43">
        <f t="shared" si="0"/>
        <v>0.90515919515925081</v>
      </c>
    </row>
    <row r="44" spans="1:5" x14ac:dyDescent="0.25">
      <c r="A44">
        <v>1989</v>
      </c>
      <c r="B44" s="5">
        <v>57.158999999999999</v>
      </c>
      <c r="C44" s="5">
        <v>57.261000000000003</v>
      </c>
      <c r="D44" s="5">
        <v>76.382000000000005</v>
      </c>
      <c r="E44">
        <f t="shared" si="0"/>
        <v>0.8932081812677285</v>
      </c>
    </row>
    <row r="45" spans="1:5" x14ac:dyDescent="0.25">
      <c r="A45">
        <v>1990</v>
      </c>
      <c r="B45" s="5">
        <v>59.307000000000002</v>
      </c>
      <c r="C45" s="5">
        <v>59.774999999999999</v>
      </c>
      <c r="D45" s="5">
        <v>77.977999999999994</v>
      </c>
      <c r="E45">
        <f t="shared" si="0"/>
        <v>0.87884528001410778</v>
      </c>
    </row>
    <row r="46" spans="1:5" x14ac:dyDescent="0.25">
      <c r="A46">
        <v>1991</v>
      </c>
      <c r="B46" s="5">
        <v>61.302999999999997</v>
      </c>
      <c r="C46" s="5">
        <v>61.774000000000001</v>
      </c>
      <c r="D46" s="5">
        <v>79.3</v>
      </c>
      <c r="E46">
        <f t="shared" si="0"/>
        <v>0.86464482746051874</v>
      </c>
    </row>
    <row r="47" spans="1:5" x14ac:dyDescent="0.25">
      <c r="A47">
        <v>1992</v>
      </c>
      <c r="B47" s="5">
        <v>62.701000000000001</v>
      </c>
      <c r="C47" s="5">
        <v>63.42</v>
      </c>
      <c r="D47" s="5">
        <v>79.3</v>
      </c>
      <c r="E47">
        <f t="shared" si="0"/>
        <v>0.84536645121787812</v>
      </c>
    </row>
    <row r="48" spans="1:5" x14ac:dyDescent="0.25">
      <c r="A48">
        <v>1993</v>
      </c>
      <c r="B48" s="5">
        <v>64.188999999999993</v>
      </c>
      <c r="C48" s="5">
        <v>65</v>
      </c>
      <c r="D48" s="5">
        <v>80.239999999999995</v>
      </c>
      <c r="E48">
        <f t="shared" si="0"/>
        <v>0.83555799442736645</v>
      </c>
    </row>
    <row r="49" spans="1:5" x14ac:dyDescent="0.25">
      <c r="A49">
        <v>1994</v>
      </c>
      <c r="B49" s="5">
        <v>65.557000000000002</v>
      </c>
      <c r="C49" s="5">
        <v>66.355999999999995</v>
      </c>
      <c r="D49" s="5">
        <v>81.436999999999998</v>
      </c>
      <c r="E49">
        <f t="shared" si="0"/>
        <v>0.83032666299303171</v>
      </c>
    </row>
    <row r="50" spans="1:5" x14ac:dyDescent="0.25">
      <c r="A50">
        <v>1995</v>
      </c>
      <c r="B50" s="5">
        <v>66.933000000000007</v>
      </c>
      <c r="C50" s="5">
        <v>67.754000000000005</v>
      </c>
      <c r="D50" s="5">
        <v>82.748000000000005</v>
      </c>
      <c r="E50">
        <f t="shared" si="0"/>
        <v>0.82634899549004903</v>
      </c>
    </row>
    <row r="51" spans="1:5" x14ac:dyDescent="0.25">
      <c r="A51">
        <v>1996</v>
      </c>
      <c r="B51" s="5">
        <v>68.156000000000006</v>
      </c>
      <c r="C51" s="5">
        <v>69.203000000000003</v>
      </c>
      <c r="D51" s="5">
        <v>82.7</v>
      </c>
      <c r="E51">
        <f t="shared" si="0"/>
        <v>0.81105014067221259</v>
      </c>
    </row>
    <row r="52" spans="1:5" x14ac:dyDescent="0.25">
      <c r="A52">
        <v>1997</v>
      </c>
      <c r="B52" s="5">
        <v>69.337000000000003</v>
      </c>
      <c r="C52" s="5">
        <v>70.406999999999996</v>
      </c>
      <c r="D52" s="5">
        <v>82.748000000000005</v>
      </c>
      <c r="E52">
        <f t="shared" si="0"/>
        <v>0.79769844837727999</v>
      </c>
    </row>
    <row r="53" spans="1:5" x14ac:dyDescent="0.25">
      <c r="A53">
        <v>1998</v>
      </c>
      <c r="B53" s="5">
        <v>70.102000000000004</v>
      </c>
      <c r="C53" s="5">
        <v>70.966999999999999</v>
      </c>
      <c r="D53" s="5">
        <v>82.14</v>
      </c>
      <c r="E53">
        <f t="shared" si="0"/>
        <v>0.7831962126670714</v>
      </c>
    </row>
    <row r="54" spans="1:5" x14ac:dyDescent="0.25">
      <c r="A54">
        <v>1999</v>
      </c>
      <c r="B54" s="5">
        <v>71.084000000000003</v>
      </c>
      <c r="C54" s="5">
        <v>72.001000000000005</v>
      </c>
      <c r="D54" s="5">
        <v>82.218000000000004</v>
      </c>
      <c r="E54">
        <f t="shared" si="0"/>
        <v>0.77311008500565892</v>
      </c>
    </row>
    <row r="55" spans="1:5" x14ac:dyDescent="0.25">
      <c r="A55">
        <v>2000</v>
      </c>
      <c r="B55" s="5">
        <v>72.709000000000003</v>
      </c>
      <c r="C55" s="5">
        <v>73.822000000000003</v>
      </c>
      <c r="D55" s="5">
        <v>83.296000000000006</v>
      </c>
      <c r="E55">
        <f t="shared" si="0"/>
        <v>0.76574163886910429</v>
      </c>
    </row>
    <row r="56" spans="1:5" x14ac:dyDescent="0.25">
      <c r="A56">
        <v>2001</v>
      </c>
      <c r="B56" s="5">
        <v>74.385000000000005</v>
      </c>
      <c r="C56" s="5">
        <v>75.302000000000007</v>
      </c>
      <c r="D56" s="5">
        <v>84.006</v>
      </c>
      <c r="E56">
        <f t="shared" si="0"/>
        <v>0.75486836836966353</v>
      </c>
    </row>
    <row r="57" spans="1:5" x14ac:dyDescent="0.25">
      <c r="A57">
        <v>2002</v>
      </c>
      <c r="B57" s="5">
        <v>75.5</v>
      </c>
      <c r="C57" s="5">
        <v>76.290999999999997</v>
      </c>
      <c r="D57" s="5">
        <v>84.281000000000006</v>
      </c>
      <c r="E57">
        <f t="shared" si="0"/>
        <v>0.74615493707327674</v>
      </c>
    </row>
    <row r="58" spans="1:5" x14ac:dyDescent="0.25">
      <c r="A58">
        <v>2003</v>
      </c>
      <c r="B58" s="5">
        <v>77.012</v>
      </c>
      <c r="C58" s="5">
        <v>77.894000000000005</v>
      </c>
      <c r="D58" s="5">
        <v>84.972999999999999</v>
      </c>
      <c r="E58">
        <f t="shared" si="0"/>
        <v>0.73751157010428303</v>
      </c>
    </row>
    <row r="59" spans="1:5" x14ac:dyDescent="0.25">
      <c r="A59">
        <v>2004</v>
      </c>
      <c r="B59" s="5">
        <v>79.069000000000003</v>
      </c>
      <c r="C59" s="5">
        <v>79.826999999999998</v>
      </c>
      <c r="D59" s="5">
        <v>87.454999999999998</v>
      </c>
      <c r="E59">
        <f t="shared" si="0"/>
        <v>0.73930677577377402</v>
      </c>
    </row>
    <row r="60" spans="1:5" x14ac:dyDescent="0.25">
      <c r="A60">
        <v>2005</v>
      </c>
      <c r="B60" s="5">
        <v>81.537000000000006</v>
      </c>
      <c r="C60" s="5">
        <v>82.126999999999995</v>
      </c>
      <c r="D60" s="5">
        <v>90.992999999999995</v>
      </c>
      <c r="E60">
        <f t="shared" si="0"/>
        <v>0.74593252480475225</v>
      </c>
    </row>
    <row r="61" spans="1:5" x14ac:dyDescent="0.25">
      <c r="A61">
        <v>2006</v>
      </c>
      <c r="B61" s="5">
        <v>84.073999999999998</v>
      </c>
      <c r="C61" s="5">
        <v>84.44</v>
      </c>
      <c r="D61" s="5">
        <v>94.194000000000003</v>
      </c>
      <c r="E61">
        <f t="shared" si="0"/>
        <v>0.74887238847725612</v>
      </c>
    </row>
    <row r="62" spans="1:5" x14ac:dyDescent="0.25">
      <c r="A62">
        <v>2007</v>
      </c>
      <c r="B62" s="5">
        <v>86.352000000000004</v>
      </c>
      <c r="C62" s="5">
        <v>86.606999999999999</v>
      </c>
      <c r="D62" s="5">
        <v>95.614999999999995</v>
      </c>
      <c r="E62">
        <f t="shared" si="0"/>
        <v>0.74011621184547072</v>
      </c>
    </row>
    <row r="63" spans="1:5" x14ac:dyDescent="0.25">
      <c r="A63">
        <v>2008</v>
      </c>
      <c r="B63" s="5">
        <v>87.977000000000004</v>
      </c>
      <c r="C63" s="5">
        <v>89.17</v>
      </c>
      <c r="D63" s="5">
        <v>96.4</v>
      </c>
      <c r="E63">
        <f t="shared" si="0"/>
        <v>0.73240984601215686</v>
      </c>
    </row>
    <row r="64" spans="1:5" x14ac:dyDescent="0.25">
      <c r="A64">
        <v>2009</v>
      </c>
      <c r="B64" s="5">
        <v>88.557000000000002</v>
      </c>
      <c r="C64" s="5">
        <v>88.921000000000006</v>
      </c>
      <c r="D64" s="5">
        <v>95.296999999999997</v>
      </c>
      <c r="E64">
        <f t="shared" si="0"/>
        <v>0.71928768031577595</v>
      </c>
    </row>
    <row r="65" spans="1:5" x14ac:dyDescent="0.25">
      <c r="A65">
        <v>2010</v>
      </c>
      <c r="B65" s="5">
        <v>89.617999999999995</v>
      </c>
      <c r="C65" s="5">
        <v>90.513999999999996</v>
      </c>
      <c r="D65" s="5">
        <v>93.688000000000002</v>
      </c>
      <c r="E65">
        <f t="shared" si="0"/>
        <v>0.69877121917453744</v>
      </c>
    </row>
    <row r="66" spans="1:5" x14ac:dyDescent="0.25">
      <c r="A66">
        <v>2011</v>
      </c>
      <c r="B66" s="5">
        <v>91.465999999999994</v>
      </c>
      <c r="C66" s="5">
        <v>92.804000000000002</v>
      </c>
      <c r="D66" s="5">
        <v>94.597999999999999</v>
      </c>
      <c r="E66">
        <f t="shared" si="0"/>
        <v>0.69130318273232305</v>
      </c>
    </row>
    <row r="67" spans="1:5" x14ac:dyDescent="0.25">
      <c r="A67">
        <v>2012</v>
      </c>
      <c r="B67" s="5">
        <v>93.176000000000002</v>
      </c>
      <c r="C67" s="5">
        <v>94.534000000000006</v>
      </c>
      <c r="D67" s="5">
        <v>95.796999999999997</v>
      </c>
      <c r="E67">
        <f t="shared" ref="E67:E79" si="1">D67/B67*(B$35/D$35)</f>
        <v>0.68721738090970086</v>
      </c>
    </row>
    <row r="68" spans="1:5" x14ac:dyDescent="0.25">
      <c r="A68">
        <v>2013</v>
      </c>
      <c r="B68" s="5">
        <v>94.786000000000001</v>
      </c>
      <c r="C68" s="5">
        <v>95.781000000000006</v>
      </c>
      <c r="D68" s="5">
        <v>96.677999999999997</v>
      </c>
      <c r="E68">
        <f t="shared" si="1"/>
        <v>0.68175722612974488</v>
      </c>
    </row>
    <row r="69" spans="1:5" x14ac:dyDescent="0.25">
      <c r="A69">
        <v>2014</v>
      </c>
      <c r="B69" s="5">
        <v>96.436000000000007</v>
      </c>
      <c r="C69" s="5">
        <v>97.120999999999995</v>
      </c>
      <c r="D69" s="5">
        <v>98.331000000000003</v>
      </c>
      <c r="E69">
        <f t="shared" si="1"/>
        <v>0.68154973960482867</v>
      </c>
    </row>
    <row r="70" spans="1:5" x14ac:dyDescent="0.25">
      <c r="A70">
        <v>2015</v>
      </c>
      <c r="B70" s="5">
        <v>97.277000000000001</v>
      </c>
      <c r="C70" s="5">
        <v>97.299000000000007</v>
      </c>
      <c r="D70" s="5">
        <v>98.727999999999994</v>
      </c>
      <c r="E70">
        <f t="shared" si="1"/>
        <v>0.67838534808226236</v>
      </c>
    </row>
    <row r="71" spans="1:5" x14ac:dyDescent="0.25">
      <c r="A71">
        <v>2016</v>
      </c>
      <c r="B71" s="5">
        <v>98.207999999999998</v>
      </c>
      <c r="C71" s="5">
        <v>98.284000000000006</v>
      </c>
      <c r="D71" s="5">
        <v>98.549000000000007</v>
      </c>
      <c r="E71">
        <f t="shared" si="1"/>
        <v>0.67073604179398383</v>
      </c>
    </row>
    <row r="72" spans="1:5" x14ac:dyDescent="0.25">
      <c r="A72">
        <v>2017</v>
      </c>
      <c r="B72" s="5">
        <v>100</v>
      </c>
      <c r="C72" s="5">
        <v>100</v>
      </c>
      <c r="D72" s="5">
        <v>100</v>
      </c>
      <c r="E72">
        <f t="shared" si="1"/>
        <v>0.66841515583621913</v>
      </c>
    </row>
    <row r="73" spans="1:5" x14ac:dyDescent="0.25">
      <c r="A73">
        <v>2018</v>
      </c>
      <c r="B73" s="5">
        <v>102.29</v>
      </c>
      <c r="C73" s="5">
        <v>102.047</v>
      </c>
      <c r="D73" s="5">
        <v>101.539</v>
      </c>
      <c r="E73">
        <f t="shared" si="1"/>
        <v>0.66350773788692785</v>
      </c>
    </row>
    <row r="74" spans="1:5" x14ac:dyDescent="0.25">
      <c r="A74">
        <v>2019</v>
      </c>
      <c r="B74" s="5">
        <v>103.98099999999999</v>
      </c>
      <c r="C74" s="5">
        <v>103.509</v>
      </c>
      <c r="D74" s="5">
        <v>102.91200000000001</v>
      </c>
      <c r="E74">
        <f t="shared" si="1"/>
        <v>0.6615433638589453</v>
      </c>
    </row>
    <row r="75" spans="1:5" x14ac:dyDescent="0.25">
      <c r="A75">
        <v>2020</v>
      </c>
      <c r="B75" s="5">
        <v>105.38</v>
      </c>
      <c r="C75" s="5">
        <v>104.64100000000001</v>
      </c>
      <c r="D75" s="5">
        <v>104.063</v>
      </c>
      <c r="E75">
        <f t="shared" si="1"/>
        <v>0.66006155211410589</v>
      </c>
    </row>
    <row r="76" spans="1:5" x14ac:dyDescent="0.25">
      <c r="A76">
        <v>2021</v>
      </c>
      <c r="B76" s="5">
        <v>110.172</v>
      </c>
      <c r="C76" s="5">
        <v>108.97199999999999</v>
      </c>
      <c r="D76" s="5">
        <v>107.503</v>
      </c>
      <c r="E76">
        <f t="shared" si="1"/>
        <v>0.65222229330375292</v>
      </c>
    </row>
    <row r="77" spans="1:5" x14ac:dyDescent="0.25">
      <c r="A77">
        <v>2022</v>
      </c>
      <c r="B77" s="5">
        <v>118.041</v>
      </c>
      <c r="C77" s="5">
        <v>116.111</v>
      </c>
      <c r="D77" s="5">
        <v>115.854</v>
      </c>
      <c r="E77">
        <f t="shared" si="1"/>
        <v>0.65603112023999577</v>
      </c>
    </row>
    <row r="78" spans="1:5" x14ac:dyDescent="0.25">
      <c r="A78">
        <v>2023</v>
      </c>
      <c r="B78" s="5">
        <v>122.27200000000001</v>
      </c>
      <c r="C78" s="5">
        <v>120.491</v>
      </c>
      <c r="D78" s="5">
        <v>119.55200000000001</v>
      </c>
      <c r="E78">
        <f t="shared" si="1"/>
        <v>0.65354593619579027</v>
      </c>
    </row>
    <row r="79" spans="1:5" x14ac:dyDescent="0.25">
      <c r="A79">
        <v>2024</v>
      </c>
      <c r="B79" s="5">
        <v>125.23099999999999</v>
      </c>
      <c r="C79" s="5">
        <v>123.502</v>
      </c>
      <c r="D79" s="5">
        <v>121.61199999999999</v>
      </c>
      <c r="E79">
        <f t="shared" si="1"/>
        <v>0.64909889669134868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FEE5-A5F9-42A7-8081-BFC7F6A64AEF}">
  <dimension ref="A1:D202"/>
  <sheetViews>
    <sheetView workbookViewId="0">
      <selection activeCell="N30" sqref="N30"/>
    </sheetView>
  </sheetViews>
  <sheetFormatPr defaultRowHeight="15" x14ac:dyDescent="0.25"/>
  <cols>
    <col min="2" max="2" width="12" bestFit="1" customWidth="1"/>
  </cols>
  <sheetData>
    <row r="1" spans="1:4" x14ac:dyDescent="0.25">
      <c r="A1">
        <v>0.5</v>
      </c>
      <c r="B1">
        <v>0.5</v>
      </c>
      <c r="C1">
        <v>2</v>
      </c>
    </row>
    <row r="2" spans="1:4" x14ac:dyDescent="0.25">
      <c r="A2">
        <v>1E-3</v>
      </c>
      <c r="B2">
        <f>($A$1+(1-$A$1)*$A2^((B$1-1)/B$1))^(B$1/(B$1-1))</f>
        <v>1.998001998001998E-3</v>
      </c>
      <c r="C2">
        <f>($A$1+(1-$A$1)*$A2^((C$1-1)/C$1))^(C$1/(C$1-1))</f>
        <v>0.26606138830084197</v>
      </c>
      <c r="D2">
        <f>$A$1^(-1)</f>
        <v>2</v>
      </c>
    </row>
    <row r="3" spans="1:4" x14ac:dyDescent="0.25">
      <c r="A3">
        <v>0.1</v>
      </c>
      <c r="B3">
        <f t="shared" ref="B3:C66" si="0">($A$1+(1-$A$1)*$A3^((B$1-1)/B$1))^(B$1/(B$1-1))</f>
        <v>0.18181818181818182</v>
      </c>
      <c r="C3">
        <f t="shared" si="0"/>
        <v>0.43311388300841902</v>
      </c>
      <c r="D3">
        <f t="shared" ref="D3:D66" si="1">$A$1^(-1)</f>
        <v>2</v>
      </c>
    </row>
    <row r="4" spans="1:4" x14ac:dyDescent="0.25">
      <c r="A4">
        <v>0.2</v>
      </c>
      <c r="B4">
        <f t="shared" si="0"/>
        <v>0.33333333333333331</v>
      </c>
      <c r="C4">
        <f t="shared" si="0"/>
        <v>0.52360679774997887</v>
      </c>
      <c r="D4">
        <f t="shared" si="1"/>
        <v>2</v>
      </c>
    </row>
    <row r="5" spans="1:4" x14ac:dyDescent="0.25">
      <c r="A5">
        <v>0.3</v>
      </c>
      <c r="B5">
        <f t="shared" si="0"/>
        <v>0.46153846153846145</v>
      </c>
      <c r="C5">
        <f t="shared" si="0"/>
        <v>0.59886127875258299</v>
      </c>
      <c r="D5">
        <f t="shared" si="1"/>
        <v>2</v>
      </c>
    </row>
    <row r="6" spans="1:4" x14ac:dyDescent="0.25">
      <c r="A6">
        <v>0.4</v>
      </c>
      <c r="B6">
        <f t="shared" si="0"/>
        <v>0.5714285714285714</v>
      </c>
      <c r="C6">
        <f t="shared" si="0"/>
        <v>0.66622776601683809</v>
      </c>
      <c r="D6">
        <f t="shared" si="1"/>
        <v>2</v>
      </c>
    </row>
    <row r="7" spans="1:4" x14ac:dyDescent="0.25">
      <c r="A7">
        <v>0.5</v>
      </c>
      <c r="B7">
        <f t="shared" si="0"/>
        <v>0.66666666666666663</v>
      </c>
      <c r="C7">
        <f t="shared" si="0"/>
        <v>0.72855339059327373</v>
      </c>
      <c r="D7">
        <f t="shared" si="1"/>
        <v>2</v>
      </c>
    </row>
    <row r="8" spans="1:4" x14ac:dyDescent="0.25">
      <c r="A8">
        <v>0.6</v>
      </c>
      <c r="B8">
        <f t="shared" si="0"/>
        <v>0.74999999999999989</v>
      </c>
      <c r="C8">
        <f t="shared" si="0"/>
        <v>0.78729833462074172</v>
      </c>
      <c r="D8">
        <f t="shared" si="1"/>
        <v>2</v>
      </c>
    </row>
    <row r="9" spans="1:4" x14ac:dyDescent="0.25">
      <c r="A9">
        <v>0.7</v>
      </c>
      <c r="B9">
        <f t="shared" si="0"/>
        <v>0.82352941176470584</v>
      </c>
      <c r="C9">
        <f t="shared" si="0"/>
        <v>0.84333001326703783</v>
      </c>
      <c r="D9">
        <f t="shared" si="1"/>
        <v>2</v>
      </c>
    </row>
    <row r="10" spans="1:4" x14ac:dyDescent="0.25">
      <c r="A10">
        <v>0.8</v>
      </c>
      <c r="B10">
        <f t="shared" si="0"/>
        <v>0.88888888888888884</v>
      </c>
      <c r="C10">
        <f t="shared" si="0"/>
        <v>0.89721359549995783</v>
      </c>
      <c r="D10">
        <f t="shared" si="1"/>
        <v>2</v>
      </c>
    </row>
    <row r="11" spans="1:4" x14ac:dyDescent="0.25">
      <c r="A11">
        <v>0.9</v>
      </c>
      <c r="B11">
        <f t="shared" si="0"/>
        <v>0.94736842105263153</v>
      </c>
      <c r="C11">
        <f t="shared" si="0"/>
        <v>0.94934164902525686</v>
      </c>
      <c r="D11">
        <f t="shared" si="1"/>
        <v>2</v>
      </c>
    </row>
    <row r="12" spans="1:4" x14ac:dyDescent="0.25">
      <c r="A12">
        <v>1</v>
      </c>
      <c r="B12">
        <f t="shared" si="0"/>
        <v>1</v>
      </c>
      <c r="C12">
        <f t="shared" si="0"/>
        <v>1</v>
      </c>
      <c r="D12">
        <f t="shared" si="1"/>
        <v>2</v>
      </c>
    </row>
    <row r="13" spans="1:4" x14ac:dyDescent="0.25">
      <c r="A13">
        <v>1.1000000000000001</v>
      </c>
      <c r="B13">
        <f t="shared" si="0"/>
        <v>1.0476190476190477</v>
      </c>
      <c r="C13">
        <f t="shared" si="0"/>
        <v>1.0494044240850759</v>
      </c>
      <c r="D13">
        <f t="shared" si="1"/>
        <v>2</v>
      </c>
    </row>
    <row r="14" spans="1:4" x14ac:dyDescent="0.25">
      <c r="A14">
        <v>1.2</v>
      </c>
      <c r="B14">
        <f t="shared" si="0"/>
        <v>1.0909090909090908</v>
      </c>
      <c r="C14">
        <f t="shared" si="0"/>
        <v>1.0977225575051661</v>
      </c>
      <c r="D14">
        <f t="shared" si="1"/>
        <v>2</v>
      </c>
    </row>
    <row r="15" spans="1:4" x14ac:dyDescent="0.25">
      <c r="A15">
        <v>1.3</v>
      </c>
      <c r="B15">
        <f t="shared" si="0"/>
        <v>1.1304347826086958</v>
      </c>
      <c r="C15">
        <f t="shared" si="0"/>
        <v>1.1450877125495693</v>
      </c>
      <c r="D15">
        <f t="shared" si="1"/>
        <v>2</v>
      </c>
    </row>
    <row r="16" spans="1:4" x14ac:dyDescent="0.25">
      <c r="A16">
        <v>1.4</v>
      </c>
      <c r="B16">
        <f t="shared" si="0"/>
        <v>1.1666666666666665</v>
      </c>
      <c r="C16">
        <f t="shared" si="0"/>
        <v>1.1916079783099618</v>
      </c>
      <c r="D16">
        <f t="shared" si="1"/>
        <v>2</v>
      </c>
    </row>
    <row r="17" spans="1:4" x14ac:dyDescent="0.25">
      <c r="A17">
        <v>1.5</v>
      </c>
      <c r="B17">
        <f t="shared" si="0"/>
        <v>1.2000000000000002</v>
      </c>
      <c r="C17">
        <f t="shared" si="0"/>
        <v>1.2373724356957945</v>
      </c>
      <c r="D17">
        <f t="shared" si="1"/>
        <v>2</v>
      </c>
    </row>
    <row r="18" spans="1:4" x14ac:dyDescent="0.25">
      <c r="A18">
        <v>1.6</v>
      </c>
      <c r="B18">
        <f t="shared" si="0"/>
        <v>1.2307692307692308</v>
      </c>
      <c r="C18">
        <f t="shared" si="0"/>
        <v>1.2824555320336761</v>
      </c>
      <c r="D18">
        <f t="shared" si="1"/>
        <v>2</v>
      </c>
    </row>
    <row r="19" spans="1:4" x14ac:dyDescent="0.25">
      <c r="A19">
        <v>1.7</v>
      </c>
      <c r="B19">
        <f t="shared" si="0"/>
        <v>1.2592592592592591</v>
      </c>
      <c r="C19">
        <f t="shared" si="0"/>
        <v>1.3269202405202649</v>
      </c>
      <c r="D19">
        <f t="shared" si="1"/>
        <v>2</v>
      </c>
    </row>
    <row r="20" spans="1:4" x14ac:dyDescent="0.25">
      <c r="A20">
        <v>1.8</v>
      </c>
      <c r="B20">
        <f t="shared" si="0"/>
        <v>1.2857142857142856</v>
      </c>
      <c r="C20">
        <f t="shared" si="0"/>
        <v>1.3708203932499372</v>
      </c>
      <c r="D20">
        <f t="shared" si="1"/>
        <v>2</v>
      </c>
    </row>
    <row r="21" spans="1:4" x14ac:dyDescent="0.25">
      <c r="A21">
        <v>1.9</v>
      </c>
      <c r="B21">
        <f t="shared" si="0"/>
        <v>1.3103448275862071</v>
      </c>
      <c r="C21">
        <f t="shared" si="0"/>
        <v>1.4142024376045113</v>
      </c>
      <c r="D21">
        <f t="shared" si="1"/>
        <v>2</v>
      </c>
    </row>
    <row r="22" spans="1:4" x14ac:dyDescent="0.25">
      <c r="A22">
        <v>2</v>
      </c>
      <c r="B22">
        <f t="shared" si="0"/>
        <v>1.3333333333333333</v>
      </c>
      <c r="C22">
        <f t="shared" si="0"/>
        <v>1.4571067811865475</v>
      </c>
      <c r="D22">
        <f t="shared" si="1"/>
        <v>2</v>
      </c>
    </row>
    <row r="23" spans="1:4" x14ac:dyDescent="0.25">
      <c r="A23">
        <v>2.1</v>
      </c>
      <c r="B23">
        <f t="shared" si="0"/>
        <v>1.3548387096774193</v>
      </c>
      <c r="C23">
        <f t="shared" si="0"/>
        <v>1.4995688373094722</v>
      </c>
      <c r="D23">
        <f t="shared" si="1"/>
        <v>2</v>
      </c>
    </row>
    <row r="24" spans="1:4" x14ac:dyDescent="0.25">
      <c r="A24">
        <v>2.2000000000000002</v>
      </c>
      <c r="B24">
        <f t="shared" si="0"/>
        <v>1.375</v>
      </c>
      <c r="C24">
        <f t="shared" si="0"/>
        <v>1.541619848709566</v>
      </c>
      <c r="D24">
        <f t="shared" si="1"/>
        <v>2</v>
      </c>
    </row>
    <row r="25" spans="1:4" x14ac:dyDescent="0.25">
      <c r="A25">
        <v>2.2999999999999998</v>
      </c>
      <c r="B25">
        <f t="shared" si="0"/>
        <v>1.3939393939393938</v>
      </c>
      <c r="C25">
        <f t="shared" si="0"/>
        <v>1.5832875444051546</v>
      </c>
      <c r="D25">
        <f t="shared" si="1"/>
        <v>2</v>
      </c>
    </row>
    <row r="26" spans="1:4" x14ac:dyDescent="0.25">
      <c r="A26">
        <v>2.4</v>
      </c>
      <c r="B26">
        <f t="shared" si="0"/>
        <v>1.4117647058823528</v>
      </c>
      <c r="C26">
        <f t="shared" si="0"/>
        <v>1.6245966692414835</v>
      </c>
      <c r="D26">
        <f t="shared" si="1"/>
        <v>2</v>
      </c>
    </row>
    <row r="27" spans="1:4" x14ac:dyDescent="0.25">
      <c r="A27">
        <v>2.5</v>
      </c>
      <c r="B27">
        <f t="shared" si="0"/>
        <v>1.4285714285714286</v>
      </c>
      <c r="C27">
        <f t="shared" si="0"/>
        <v>1.6655694150420952</v>
      </c>
      <c r="D27">
        <f t="shared" si="1"/>
        <v>2</v>
      </c>
    </row>
    <row r="28" spans="1:4" x14ac:dyDescent="0.25">
      <c r="A28">
        <v>2.6</v>
      </c>
      <c r="B28">
        <f t="shared" si="0"/>
        <v>1.4444444444444444</v>
      </c>
      <c r="C28">
        <f t="shared" si="0"/>
        <v>1.7062257748298548</v>
      </c>
      <c r="D28">
        <f t="shared" si="1"/>
        <v>2</v>
      </c>
    </row>
    <row r="29" spans="1:4" x14ac:dyDescent="0.25">
      <c r="A29">
        <v>2.7</v>
      </c>
      <c r="B29">
        <f t="shared" si="0"/>
        <v>1.4594594594594597</v>
      </c>
      <c r="C29">
        <f t="shared" si="0"/>
        <v>1.7465838362577493</v>
      </c>
      <c r="D29">
        <f t="shared" si="1"/>
        <v>2</v>
      </c>
    </row>
    <row r="30" spans="1:4" x14ac:dyDescent="0.25">
      <c r="A30">
        <v>2.8</v>
      </c>
      <c r="B30">
        <f t="shared" si="0"/>
        <v>1.4736842105263157</v>
      </c>
      <c r="C30">
        <f t="shared" si="0"/>
        <v>1.7866600265340755</v>
      </c>
      <c r="D30">
        <f t="shared" si="1"/>
        <v>2</v>
      </c>
    </row>
    <row r="31" spans="1:4" x14ac:dyDescent="0.25">
      <c r="A31">
        <v>2.9</v>
      </c>
      <c r="B31">
        <f t="shared" si="0"/>
        <v>1.4871794871794872</v>
      </c>
      <c r="C31">
        <f t="shared" si="0"/>
        <v>1.8264693182963199</v>
      </c>
      <c r="D31">
        <f t="shared" si="1"/>
        <v>2</v>
      </c>
    </row>
    <row r="32" spans="1:4" x14ac:dyDescent="0.25">
      <c r="A32">
        <v>3</v>
      </c>
      <c r="B32">
        <f t="shared" si="0"/>
        <v>1.5</v>
      </c>
      <c r="C32">
        <f t="shared" si="0"/>
        <v>1.8660254037844386</v>
      </c>
      <c r="D32">
        <f t="shared" si="1"/>
        <v>2</v>
      </c>
    </row>
    <row r="33" spans="1:4" x14ac:dyDescent="0.25">
      <c r="A33">
        <v>3.1</v>
      </c>
      <c r="B33">
        <f t="shared" si="0"/>
        <v>1.5121951219512195</v>
      </c>
      <c r="C33">
        <f t="shared" si="0"/>
        <v>1.9053408430829504</v>
      </c>
      <c r="D33">
        <f t="shared" si="1"/>
        <v>2</v>
      </c>
    </row>
    <row r="34" spans="1:4" x14ac:dyDescent="0.25">
      <c r="A34">
        <v>3.2</v>
      </c>
      <c r="B34">
        <f t="shared" si="0"/>
        <v>1.5238095238095237</v>
      </c>
      <c r="C34">
        <f t="shared" si="0"/>
        <v>1.9444271909999156</v>
      </c>
      <c r="D34">
        <f t="shared" si="1"/>
        <v>2</v>
      </c>
    </row>
    <row r="35" spans="1:4" x14ac:dyDescent="0.25">
      <c r="A35">
        <v>3.3</v>
      </c>
      <c r="B35">
        <f t="shared" si="0"/>
        <v>1.5348837209302326</v>
      </c>
      <c r="C35">
        <f t="shared" si="0"/>
        <v>1.9832951062292474</v>
      </c>
      <c r="D35">
        <f t="shared" si="1"/>
        <v>2</v>
      </c>
    </row>
    <row r="36" spans="1:4" x14ac:dyDescent="0.25">
      <c r="A36">
        <v>3.4</v>
      </c>
      <c r="B36">
        <f t="shared" si="0"/>
        <v>1.5454545454545454</v>
      </c>
      <c r="C36">
        <f t="shared" si="0"/>
        <v>2.0219544457292886</v>
      </c>
      <c r="D36">
        <f t="shared" si="1"/>
        <v>2</v>
      </c>
    </row>
    <row r="37" spans="1:4" x14ac:dyDescent="0.25">
      <c r="A37">
        <v>3.5</v>
      </c>
      <c r="B37">
        <f t="shared" si="0"/>
        <v>1.5555555555555558</v>
      </c>
      <c r="C37">
        <f t="shared" si="0"/>
        <v>2.0604143466934848</v>
      </c>
      <c r="D37">
        <f t="shared" si="1"/>
        <v>2</v>
      </c>
    </row>
    <row r="38" spans="1:4" x14ac:dyDescent="0.25">
      <c r="A38">
        <v>3.6</v>
      </c>
      <c r="B38">
        <f t="shared" si="0"/>
        <v>1.5652173913043479</v>
      </c>
      <c r="C38">
        <f t="shared" si="0"/>
        <v>2.0986832980505139</v>
      </c>
      <c r="D38">
        <f t="shared" si="1"/>
        <v>2</v>
      </c>
    </row>
    <row r="39" spans="1:4" x14ac:dyDescent="0.25">
      <c r="A39">
        <v>3.7</v>
      </c>
      <c r="B39">
        <f t="shared" si="0"/>
        <v>1.574468085106383</v>
      </c>
      <c r="C39">
        <f t="shared" si="0"/>
        <v>2.136769203083567</v>
      </c>
      <c r="D39">
        <f t="shared" si="1"/>
        <v>2</v>
      </c>
    </row>
    <row r="40" spans="1:4" x14ac:dyDescent="0.25">
      <c r="A40">
        <v>3.8</v>
      </c>
      <c r="B40">
        <f t="shared" si="0"/>
        <v>1.5833333333333335</v>
      </c>
      <c r="C40">
        <f t="shared" si="0"/>
        <v>2.174679434480896</v>
      </c>
      <c r="D40">
        <f t="shared" si="1"/>
        <v>2</v>
      </c>
    </row>
    <row r="41" spans="1:4" x14ac:dyDescent="0.25">
      <c r="A41">
        <v>3.9</v>
      </c>
      <c r="B41">
        <f t="shared" si="0"/>
        <v>1.5918367346938775</v>
      </c>
      <c r="C41">
        <f t="shared" si="0"/>
        <v>2.2124208829065748</v>
      </c>
      <c r="D41">
        <f t="shared" si="1"/>
        <v>2</v>
      </c>
    </row>
    <row r="42" spans="1:4" x14ac:dyDescent="0.25">
      <c r="A42">
        <v>4</v>
      </c>
      <c r="B42">
        <f t="shared" si="0"/>
        <v>1.6</v>
      </c>
      <c r="C42">
        <f t="shared" si="0"/>
        <v>2.25</v>
      </c>
      <c r="D42">
        <f t="shared" si="1"/>
        <v>2</v>
      </c>
    </row>
    <row r="43" spans="1:4" x14ac:dyDescent="0.25">
      <c r="A43">
        <v>4.0999999999999996</v>
      </c>
      <c r="B43">
        <f t="shared" si="0"/>
        <v>1.607843137254902</v>
      </c>
      <c r="C43">
        <f t="shared" si="0"/>
        <v>2.2874228365658289</v>
      </c>
      <c r="D43">
        <f t="shared" si="1"/>
        <v>2</v>
      </c>
    </row>
    <row r="44" spans="1:4" x14ac:dyDescent="0.25">
      <c r="A44">
        <v>4.2</v>
      </c>
      <c r="B44">
        <f t="shared" si="0"/>
        <v>1.6153846153846154</v>
      </c>
      <c r="C44">
        <f t="shared" si="0"/>
        <v>2.32469507659596</v>
      </c>
      <c r="D44">
        <f t="shared" si="1"/>
        <v>2</v>
      </c>
    </row>
    <row r="45" spans="1:4" x14ac:dyDescent="0.25">
      <c r="A45">
        <v>4.3</v>
      </c>
      <c r="B45">
        <f t="shared" si="0"/>
        <v>1.6226415094339623</v>
      </c>
      <c r="C45">
        <f t="shared" si="0"/>
        <v>2.3618220676663859</v>
      </c>
      <c r="D45">
        <f t="shared" si="1"/>
        <v>2</v>
      </c>
    </row>
    <row r="46" spans="1:4" x14ac:dyDescent="0.25">
      <c r="A46">
        <v>4.4000000000000004</v>
      </c>
      <c r="B46">
        <f t="shared" si="0"/>
        <v>1.6296296296296295</v>
      </c>
      <c r="C46">
        <f t="shared" si="0"/>
        <v>2.3988088481701517</v>
      </c>
      <c r="D46">
        <f t="shared" si="1"/>
        <v>2</v>
      </c>
    </row>
    <row r="47" spans="1:4" x14ac:dyDescent="0.25">
      <c r="A47">
        <v>4.5</v>
      </c>
      <c r="B47">
        <f t="shared" si="0"/>
        <v>1.6363636363636362</v>
      </c>
      <c r="C47">
        <f t="shared" si="0"/>
        <v>2.435660171779821</v>
      </c>
      <c r="D47">
        <f t="shared" si="1"/>
        <v>2</v>
      </c>
    </row>
    <row r="48" spans="1:4" x14ac:dyDescent="0.25">
      <c r="A48">
        <v>4.5999999999999996</v>
      </c>
      <c r="B48">
        <f t="shared" si="0"/>
        <v>1.6428571428571428</v>
      </c>
      <c r="C48">
        <f t="shared" si="0"/>
        <v>2.4723805294763608</v>
      </c>
      <c r="D48">
        <f t="shared" si="1"/>
        <v>2</v>
      </c>
    </row>
    <row r="49" spans="1:4" x14ac:dyDescent="0.25">
      <c r="A49">
        <v>4.7</v>
      </c>
      <c r="B49">
        <f t="shared" si="0"/>
        <v>1.6491228070175437</v>
      </c>
      <c r="C49">
        <f t="shared" si="0"/>
        <v>2.50897416943394</v>
      </c>
      <c r="D49">
        <f t="shared" si="1"/>
        <v>2</v>
      </c>
    </row>
    <row r="50" spans="1:4" x14ac:dyDescent="0.25">
      <c r="A50">
        <v>4.8</v>
      </c>
      <c r="B50">
        <f t="shared" si="0"/>
        <v>1.6551724137931036</v>
      </c>
      <c r="C50">
        <f t="shared" si="0"/>
        <v>2.5454451150103319</v>
      </c>
      <c r="D50">
        <f t="shared" si="1"/>
        <v>2</v>
      </c>
    </row>
    <row r="51" spans="1:4" x14ac:dyDescent="0.25">
      <c r="A51">
        <v>4.9000000000000004</v>
      </c>
      <c r="B51">
        <f t="shared" si="0"/>
        <v>1.6610169491525424</v>
      </c>
      <c r="C51">
        <f t="shared" si="0"/>
        <v>2.5817971810589326</v>
      </c>
      <c r="D51">
        <f t="shared" si="1"/>
        <v>2</v>
      </c>
    </row>
    <row r="52" spans="1:4" x14ac:dyDescent="0.25">
      <c r="A52">
        <v>5</v>
      </c>
      <c r="B52">
        <f t="shared" si="0"/>
        <v>1.6666666666666667</v>
      </c>
      <c r="C52">
        <f t="shared" si="0"/>
        <v>2.6180339887498949</v>
      </c>
      <c r="D52">
        <f t="shared" si="1"/>
        <v>2</v>
      </c>
    </row>
    <row r="53" spans="1:4" x14ac:dyDescent="0.25">
      <c r="A53">
        <v>5.0999999999999996</v>
      </c>
      <c r="B53">
        <f t="shared" si="0"/>
        <v>1.6721311475409837</v>
      </c>
      <c r="C53">
        <f t="shared" si="0"/>
        <v>2.6541589790636211</v>
      </c>
      <c r="D53">
        <f t="shared" si="1"/>
        <v>2</v>
      </c>
    </row>
    <row r="54" spans="1:4" x14ac:dyDescent="0.25">
      <c r="A54">
        <v>5.2</v>
      </c>
      <c r="B54">
        <f t="shared" si="0"/>
        <v>1.6774193548387097</v>
      </c>
      <c r="C54">
        <f t="shared" si="0"/>
        <v>2.6901754250991381</v>
      </c>
      <c r="D54">
        <f t="shared" si="1"/>
        <v>2</v>
      </c>
    </row>
    <row r="55" spans="1:4" x14ac:dyDescent="0.25">
      <c r="A55">
        <v>5.3</v>
      </c>
      <c r="B55">
        <f t="shared" si="0"/>
        <v>1.6825396825396826</v>
      </c>
      <c r="C55">
        <f t="shared" si="0"/>
        <v>2.7260864433221337</v>
      </c>
      <c r="D55">
        <f t="shared" si="1"/>
        <v>2</v>
      </c>
    </row>
    <row r="56" spans="1:4" x14ac:dyDescent="0.25">
      <c r="A56">
        <v>5.4</v>
      </c>
      <c r="B56">
        <f t="shared" si="0"/>
        <v>1.6875</v>
      </c>
      <c r="C56">
        <f t="shared" si="0"/>
        <v>2.7618950038622252</v>
      </c>
      <c r="D56">
        <f t="shared" si="1"/>
        <v>2</v>
      </c>
    </row>
    <row r="57" spans="1:4" x14ac:dyDescent="0.25">
      <c r="A57">
        <v>5.5</v>
      </c>
      <c r="B57">
        <f t="shared" si="0"/>
        <v>1.6923076923076923</v>
      </c>
      <c r="C57">
        <f t="shared" si="0"/>
        <v>2.7976039399558577</v>
      </c>
      <c r="D57">
        <f t="shared" si="1"/>
        <v>2</v>
      </c>
    </row>
    <row r="58" spans="1:4" x14ac:dyDescent="0.25">
      <c r="A58">
        <v>5.6</v>
      </c>
      <c r="B58">
        <f t="shared" si="0"/>
        <v>1.696969696969697</v>
      </c>
      <c r="C58">
        <f t="shared" si="0"/>
        <v>2.8332159566199233</v>
      </c>
      <c r="D58">
        <f t="shared" si="1"/>
        <v>2</v>
      </c>
    </row>
    <row r="59" spans="1:4" x14ac:dyDescent="0.25">
      <c r="A59">
        <v>5.7</v>
      </c>
      <c r="B59">
        <f t="shared" si="0"/>
        <v>1.7014925373134326</v>
      </c>
      <c r="C59">
        <f t="shared" si="0"/>
        <v>2.868733638631332</v>
      </c>
      <c r="D59">
        <f t="shared" si="1"/>
        <v>2</v>
      </c>
    </row>
    <row r="60" spans="1:4" x14ac:dyDescent="0.25">
      <c r="A60">
        <v>5.8</v>
      </c>
      <c r="B60">
        <f t="shared" si="0"/>
        <v>1.7058823529411762</v>
      </c>
      <c r="C60">
        <f t="shared" si="0"/>
        <v>2.90415945787923</v>
      </c>
      <c r="D60">
        <f t="shared" si="1"/>
        <v>2</v>
      </c>
    </row>
    <row r="61" spans="1:4" x14ac:dyDescent="0.25">
      <c r="A61">
        <v>5.9</v>
      </c>
      <c r="B61">
        <f t="shared" si="0"/>
        <v>1.7101449275362319</v>
      </c>
      <c r="C61">
        <f t="shared" si="0"/>
        <v>2.9394957801491115</v>
      </c>
      <c r="D61">
        <f t="shared" si="1"/>
        <v>2</v>
      </c>
    </row>
    <row r="62" spans="1:4" x14ac:dyDescent="0.25">
      <c r="A62">
        <v>6</v>
      </c>
      <c r="B62">
        <f t="shared" si="0"/>
        <v>1.7142857142857142</v>
      </c>
      <c r="C62">
        <f t="shared" si="0"/>
        <v>2.9747448713915885</v>
      </c>
      <c r="D62">
        <f t="shared" si="1"/>
        <v>2</v>
      </c>
    </row>
    <row r="63" spans="1:4" x14ac:dyDescent="0.25">
      <c r="A63">
        <v>6.1</v>
      </c>
      <c r="B63">
        <f t="shared" si="0"/>
        <v>1.7183098591549297</v>
      </c>
      <c r="C63">
        <f t="shared" si="0"/>
        <v>3.009908903522847</v>
      </c>
      <c r="D63">
        <f t="shared" si="1"/>
        <v>2</v>
      </c>
    </row>
    <row r="64" spans="1:4" x14ac:dyDescent="0.25">
      <c r="A64">
        <v>6.2</v>
      </c>
      <c r="B64">
        <f t="shared" si="0"/>
        <v>1.7222222222222221</v>
      </c>
      <c r="C64">
        <f t="shared" si="0"/>
        <v>3.044989959798873</v>
      </c>
      <c r="D64">
        <f t="shared" si="1"/>
        <v>2</v>
      </c>
    </row>
    <row r="65" spans="1:4" x14ac:dyDescent="0.25">
      <c r="A65">
        <v>6.3</v>
      </c>
      <c r="B65">
        <f t="shared" si="0"/>
        <v>1.7260273972602742</v>
      </c>
      <c r="C65">
        <f t="shared" si="0"/>
        <v>3.0799900398011135</v>
      </c>
      <c r="D65">
        <f t="shared" si="1"/>
        <v>2</v>
      </c>
    </row>
    <row r="66" spans="1:4" x14ac:dyDescent="0.25">
      <c r="A66">
        <v>6.4</v>
      </c>
      <c r="B66">
        <f t="shared" si="0"/>
        <v>1.7297297297297298</v>
      </c>
      <c r="C66">
        <f t="shared" si="0"/>
        <v>3.1149110640673516</v>
      </c>
      <c r="D66">
        <f t="shared" si="1"/>
        <v>2</v>
      </c>
    </row>
    <row r="67" spans="1:4" x14ac:dyDescent="0.25">
      <c r="A67">
        <v>6.5</v>
      </c>
      <c r="B67">
        <f t="shared" ref="B67:C130" si="2">($A$1+(1-$A$1)*$A67^((B$1-1)/B$1))^(B$1/(B$1-1))</f>
        <v>1.7333333333333334</v>
      </c>
      <c r="C67">
        <f t="shared" si="2"/>
        <v>3.1497548783981961</v>
      </c>
      <c r="D67">
        <f t="shared" ref="D67:D130" si="3">$A$1^(-1)</f>
        <v>2</v>
      </c>
    </row>
    <row r="68" spans="1:4" x14ac:dyDescent="0.25">
      <c r="A68">
        <v>6.6</v>
      </c>
      <c r="B68">
        <f t="shared" si="2"/>
        <v>1.7368421052631577</v>
      </c>
      <c r="C68">
        <f t="shared" si="2"/>
        <v>3.184523257866513</v>
      </c>
      <c r="D68">
        <f t="shared" si="3"/>
        <v>2</v>
      </c>
    </row>
    <row r="69" spans="1:4" x14ac:dyDescent="0.25">
      <c r="A69">
        <v>6.7</v>
      </c>
      <c r="B69">
        <f t="shared" si="2"/>
        <v>1.7402597402597402</v>
      </c>
      <c r="C69">
        <f t="shared" si="2"/>
        <v>3.2192179105544785</v>
      </c>
      <c r="D69">
        <f t="shared" si="3"/>
        <v>2</v>
      </c>
    </row>
    <row r="70" spans="1:4" x14ac:dyDescent="0.25">
      <c r="A70">
        <v>6.8</v>
      </c>
      <c r="B70">
        <f t="shared" si="2"/>
        <v>1.7435897435897436</v>
      </c>
      <c r="C70">
        <f t="shared" si="2"/>
        <v>3.2538404810405299</v>
      </c>
      <c r="D70">
        <f t="shared" si="3"/>
        <v>2</v>
      </c>
    </row>
    <row r="71" spans="1:4" x14ac:dyDescent="0.25">
      <c r="A71">
        <v>6.9</v>
      </c>
      <c r="B71">
        <f t="shared" si="2"/>
        <v>1.7468354430379747</v>
      </c>
      <c r="C71">
        <f t="shared" si="2"/>
        <v>3.2883925536563701</v>
      </c>
      <c r="D71">
        <f t="shared" si="3"/>
        <v>2</v>
      </c>
    </row>
    <row r="72" spans="1:4" x14ac:dyDescent="0.25">
      <c r="A72">
        <v>7</v>
      </c>
      <c r="B72">
        <f t="shared" si="2"/>
        <v>1.75</v>
      </c>
      <c r="C72">
        <f t="shared" si="2"/>
        <v>3.3228756555322954</v>
      </c>
      <c r="D72">
        <f t="shared" si="3"/>
        <v>2</v>
      </c>
    </row>
    <row r="73" spans="1:4" x14ac:dyDescent="0.25">
      <c r="A73">
        <v>7.1</v>
      </c>
      <c r="B73">
        <f t="shared" si="2"/>
        <v>1.7530864197530864</v>
      </c>
      <c r="C73">
        <f t="shared" si="2"/>
        <v>3.3572912594474227</v>
      </c>
      <c r="D73">
        <f t="shared" si="3"/>
        <v>2</v>
      </c>
    </row>
    <row r="74" spans="1:4" x14ac:dyDescent="0.25">
      <c r="A74">
        <v>7.2</v>
      </c>
      <c r="B74">
        <f t="shared" si="2"/>
        <v>1.7560975609756098</v>
      </c>
      <c r="C74">
        <f t="shared" si="2"/>
        <v>3.3916407864998739</v>
      </c>
      <c r="D74">
        <f t="shared" si="3"/>
        <v>2</v>
      </c>
    </row>
    <row r="75" spans="1:4" x14ac:dyDescent="0.25">
      <c r="A75">
        <v>7.3</v>
      </c>
      <c r="B75">
        <f t="shared" si="2"/>
        <v>1.7590361445783131</v>
      </c>
      <c r="C75">
        <f t="shared" si="2"/>
        <v>3.4259256086106298</v>
      </c>
      <c r="D75">
        <f t="shared" si="3"/>
        <v>2</v>
      </c>
    </row>
    <row r="76" spans="1:4" x14ac:dyDescent="0.25">
      <c r="A76">
        <v>7.4</v>
      </c>
      <c r="B76">
        <f t="shared" si="2"/>
        <v>1.7619047619047621</v>
      </c>
      <c r="C76">
        <f t="shared" si="2"/>
        <v>3.4601470508735441</v>
      </c>
      <c r="D76">
        <f t="shared" si="3"/>
        <v>2</v>
      </c>
    </row>
    <row r="77" spans="1:4" x14ac:dyDescent="0.25">
      <c r="A77">
        <v>7.5</v>
      </c>
      <c r="B77">
        <f t="shared" si="2"/>
        <v>1.7647058823529411</v>
      </c>
      <c r="C77">
        <f t="shared" si="2"/>
        <v>3.4943063937629155</v>
      </c>
      <c r="D77">
        <f t="shared" si="3"/>
        <v>2</v>
      </c>
    </row>
    <row r="78" spans="1:4" x14ac:dyDescent="0.25">
      <c r="A78">
        <v>7.6</v>
      </c>
      <c r="B78">
        <f t="shared" si="2"/>
        <v>1.7674418604651163</v>
      </c>
      <c r="C78">
        <f t="shared" si="2"/>
        <v>3.5284048752090218</v>
      </c>
      <c r="D78">
        <f t="shared" si="3"/>
        <v>2</v>
      </c>
    </row>
    <row r="79" spans="1:4" x14ac:dyDescent="0.25">
      <c r="A79">
        <v>7.7</v>
      </c>
      <c r="B79">
        <f t="shared" si="2"/>
        <v>1.7701149425287355</v>
      </c>
      <c r="C79">
        <f t="shared" si="2"/>
        <v>3.5624436925511609</v>
      </c>
      <c r="D79">
        <f t="shared" si="3"/>
        <v>2</v>
      </c>
    </row>
    <row r="80" spans="1:4" x14ac:dyDescent="0.25">
      <c r="A80">
        <v>7.8</v>
      </c>
      <c r="B80">
        <f t="shared" si="2"/>
        <v>1.7727272727272727</v>
      </c>
      <c r="C80">
        <f t="shared" si="2"/>
        <v>3.5964240043768938</v>
      </c>
      <c r="D80">
        <f t="shared" si="3"/>
        <v>2</v>
      </c>
    </row>
    <row r="81" spans="1:4" x14ac:dyDescent="0.25">
      <c r="A81">
        <v>7.9</v>
      </c>
      <c r="B81">
        <f t="shared" si="2"/>
        <v>1.7752808988764044</v>
      </c>
      <c r="C81">
        <f t="shared" si="2"/>
        <v>3.6303469322555197</v>
      </c>
      <c r="D81">
        <f t="shared" si="3"/>
        <v>2</v>
      </c>
    </row>
    <row r="82" spans="1:4" x14ac:dyDescent="0.25">
      <c r="A82">
        <v>8</v>
      </c>
      <c r="B82">
        <f t="shared" si="2"/>
        <v>1.7777777777777777</v>
      </c>
      <c r="C82">
        <f t="shared" si="2"/>
        <v>3.6642135623730954</v>
      </c>
      <c r="D82">
        <f t="shared" si="3"/>
        <v>2</v>
      </c>
    </row>
    <row r="83" spans="1:4" x14ac:dyDescent="0.25">
      <c r="A83">
        <v>8.1</v>
      </c>
      <c r="B83">
        <f t="shared" si="2"/>
        <v>1.7802197802197801</v>
      </c>
      <c r="C83">
        <f t="shared" si="2"/>
        <v>3.6980249470757709</v>
      </c>
      <c r="D83">
        <f t="shared" si="3"/>
        <v>2</v>
      </c>
    </row>
    <row r="84" spans="1:4" x14ac:dyDescent="0.25">
      <c r="A84">
        <v>8.1999999999999993</v>
      </c>
      <c r="B84">
        <f t="shared" si="2"/>
        <v>1.7826086956521738</v>
      </c>
      <c r="C84">
        <f t="shared" si="2"/>
        <v>3.7317821063276351</v>
      </c>
      <c r="D84">
        <f t="shared" si="3"/>
        <v>2</v>
      </c>
    </row>
    <row r="85" spans="1:4" x14ac:dyDescent="0.25">
      <c r="A85">
        <v>8.3000000000000007</v>
      </c>
      <c r="B85">
        <f t="shared" si="2"/>
        <v>1.78494623655914</v>
      </c>
      <c r="C85">
        <f t="shared" si="2"/>
        <v>3.7654860290887933</v>
      </c>
      <c r="D85">
        <f t="shared" si="3"/>
        <v>2</v>
      </c>
    </row>
    <row r="86" spans="1:4" x14ac:dyDescent="0.25">
      <c r="A86">
        <v>8.4</v>
      </c>
      <c r="B86">
        <f t="shared" si="2"/>
        <v>1.7872340425531914</v>
      </c>
      <c r="C86">
        <f t="shared" si="2"/>
        <v>3.7991376746189442</v>
      </c>
      <c r="D86">
        <f t="shared" si="3"/>
        <v>2</v>
      </c>
    </row>
    <row r="87" spans="1:4" x14ac:dyDescent="0.25">
      <c r="A87">
        <v>8.5</v>
      </c>
      <c r="B87">
        <f t="shared" si="2"/>
        <v>1.7894736842105263</v>
      </c>
      <c r="C87">
        <f t="shared" si="2"/>
        <v>3.8327379737113252</v>
      </c>
      <c r="D87">
        <f t="shared" si="3"/>
        <v>2</v>
      </c>
    </row>
    <row r="88" spans="1:4" x14ac:dyDescent="0.25">
      <c r="A88">
        <v>8.6</v>
      </c>
      <c r="B88">
        <f t="shared" si="2"/>
        <v>1.7916666666666667</v>
      </c>
      <c r="C88">
        <f t="shared" si="2"/>
        <v>3.8662878298615184</v>
      </c>
      <c r="D88">
        <f t="shared" si="3"/>
        <v>2</v>
      </c>
    </row>
    <row r="89" spans="1:4" x14ac:dyDescent="0.25">
      <c r="A89">
        <v>8.6999999999999993</v>
      </c>
      <c r="B89">
        <f t="shared" si="2"/>
        <v>1.7938144329896906</v>
      </c>
      <c r="C89">
        <f t="shared" si="2"/>
        <v>3.8997881203752618</v>
      </c>
      <c r="D89">
        <f t="shared" si="3"/>
        <v>2</v>
      </c>
    </row>
    <row r="90" spans="1:4" x14ac:dyDescent="0.25">
      <c r="A90">
        <v>8.8000000000000007</v>
      </c>
      <c r="B90">
        <f t="shared" si="2"/>
        <v>1.795918367346939</v>
      </c>
      <c r="C90">
        <f t="shared" si="2"/>
        <v>3.9332396974191326</v>
      </c>
      <c r="D90">
        <f t="shared" si="3"/>
        <v>2</v>
      </c>
    </row>
    <row r="91" spans="1:4" x14ac:dyDescent="0.25">
      <c r="A91">
        <v>8.9</v>
      </c>
      <c r="B91">
        <f t="shared" si="2"/>
        <v>1.7979797979797978</v>
      </c>
      <c r="C91">
        <f t="shared" si="2"/>
        <v>3.9666433890176296</v>
      </c>
      <c r="D91">
        <f t="shared" si="3"/>
        <v>2</v>
      </c>
    </row>
    <row r="92" spans="1:4" x14ac:dyDescent="0.25">
      <c r="A92">
        <v>9</v>
      </c>
      <c r="B92">
        <f t="shared" si="2"/>
        <v>1.7999999999999998</v>
      </c>
      <c r="C92">
        <f t="shared" si="2"/>
        <v>4</v>
      </c>
      <c r="D92">
        <f t="shared" si="3"/>
        <v>2</v>
      </c>
    </row>
    <row r="93" spans="1:4" x14ac:dyDescent="0.25">
      <c r="A93">
        <v>9.1</v>
      </c>
      <c r="B93">
        <f t="shared" si="2"/>
        <v>1.8019801980198018</v>
      </c>
      <c r="C93">
        <f t="shared" si="2"/>
        <v>4.033310312899836</v>
      </c>
      <c r="D93">
        <f t="shared" si="3"/>
        <v>2</v>
      </c>
    </row>
    <row r="94" spans="1:4" x14ac:dyDescent="0.25">
      <c r="A94">
        <v>9.1999999999999993</v>
      </c>
      <c r="B94">
        <f t="shared" si="2"/>
        <v>1.803921568627451</v>
      </c>
      <c r="C94">
        <f t="shared" si="2"/>
        <v>4.0665750888103087</v>
      </c>
      <c r="D94">
        <f t="shared" si="3"/>
        <v>2</v>
      </c>
    </row>
    <row r="95" spans="1:4" x14ac:dyDescent="0.25">
      <c r="A95">
        <v>9.3000000000000007</v>
      </c>
      <c r="B95">
        <f t="shared" si="2"/>
        <v>1.8058252427184467</v>
      </c>
      <c r="C95">
        <f t="shared" si="2"/>
        <v>4.0997950681976914</v>
      </c>
      <c r="D95">
        <f t="shared" si="3"/>
        <v>2</v>
      </c>
    </row>
    <row r="96" spans="1:4" x14ac:dyDescent="0.25">
      <c r="A96">
        <v>9.4</v>
      </c>
      <c r="B96">
        <f t="shared" si="2"/>
        <v>1.8076923076923077</v>
      </c>
      <c r="C96">
        <f t="shared" si="2"/>
        <v>4.1329709716755909</v>
      </c>
      <c r="D96">
        <f t="shared" si="3"/>
        <v>2</v>
      </c>
    </row>
    <row r="97" spans="1:4" x14ac:dyDescent="0.25">
      <c r="A97">
        <v>9.5</v>
      </c>
      <c r="B97">
        <f t="shared" si="2"/>
        <v>1.8095238095238098</v>
      </c>
      <c r="C97">
        <f t="shared" si="2"/>
        <v>4.1661035007422429</v>
      </c>
      <c r="D97">
        <f t="shared" si="3"/>
        <v>2</v>
      </c>
    </row>
    <row r="98" spans="1:4" x14ac:dyDescent="0.25">
      <c r="A98">
        <v>9.6</v>
      </c>
      <c r="B98">
        <f t="shared" si="2"/>
        <v>1.811320754716981</v>
      </c>
      <c r="C98">
        <f t="shared" si="2"/>
        <v>4.1991933384829672</v>
      </c>
      <c r="D98">
        <f t="shared" si="3"/>
        <v>2</v>
      </c>
    </row>
    <row r="99" spans="1:4" x14ac:dyDescent="0.25">
      <c r="A99">
        <v>9.6999999999999993</v>
      </c>
      <c r="B99">
        <f t="shared" si="2"/>
        <v>1.8130841121495327</v>
      </c>
      <c r="C99">
        <f t="shared" si="2"/>
        <v>4.2322411502397435</v>
      </c>
      <c r="D99">
        <f t="shared" si="3"/>
        <v>2</v>
      </c>
    </row>
    <row r="100" spans="1:4" x14ac:dyDescent="0.25">
      <c r="A100">
        <v>9.8000000000000007</v>
      </c>
      <c r="B100">
        <f t="shared" si="2"/>
        <v>1.8148148148148151</v>
      </c>
      <c r="C100">
        <f t="shared" si="2"/>
        <v>4.2652475842498525</v>
      </c>
      <c r="D100">
        <f t="shared" si="3"/>
        <v>2</v>
      </c>
    </row>
    <row r="101" spans="1:4" x14ac:dyDescent="0.25">
      <c r="A101">
        <v>9.9</v>
      </c>
      <c r="B101">
        <f t="shared" si="2"/>
        <v>1.8165137614678899</v>
      </c>
      <c r="C101">
        <f t="shared" si="2"/>
        <v>4.2982132722552269</v>
      </c>
      <c r="D101">
        <f t="shared" si="3"/>
        <v>2</v>
      </c>
    </row>
    <row r="102" spans="1:4" x14ac:dyDescent="0.25">
      <c r="A102">
        <v>10</v>
      </c>
      <c r="B102">
        <f t="shared" si="2"/>
        <v>1.8181818181818181</v>
      </c>
      <c r="C102">
        <f t="shared" si="2"/>
        <v>4.3311388300841909</v>
      </c>
      <c r="D102">
        <f t="shared" si="3"/>
        <v>2</v>
      </c>
    </row>
    <row r="103" spans="1:4" x14ac:dyDescent="0.25">
      <c r="A103">
        <v>10.1</v>
      </c>
      <c r="B103">
        <f t="shared" si="2"/>
        <v>1.8198198198198197</v>
      </c>
      <c r="C103">
        <f t="shared" si="2"/>
        <v>4.3640248582070695</v>
      </c>
      <c r="D103">
        <f t="shared" si="3"/>
        <v>2</v>
      </c>
    </row>
    <row r="104" spans="1:4" x14ac:dyDescent="0.25">
      <c r="A104">
        <v>10.199999999999999</v>
      </c>
      <c r="B104">
        <f t="shared" si="2"/>
        <v>1.8214285714285712</v>
      </c>
      <c r="C104">
        <f t="shared" si="2"/>
        <v>4.396871942267131</v>
      </c>
      <c r="D104">
        <f t="shared" si="3"/>
        <v>2</v>
      </c>
    </row>
    <row r="105" spans="1:4" x14ac:dyDescent="0.25">
      <c r="A105">
        <v>10.3</v>
      </c>
      <c r="B105">
        <f t="shared" si="2"/>
        <v>1.8230088495575223</v>
      </c>
      <c r="C105">
        <f t="shared" si="2"/>
        <v>4.4296806535881226</v>
      </c>
      <c r="D105">
        <f t="shared" si="3"/>
        <v>2</v>
      </c>
    </row>
    <row r="106" spans="1:4" x14ac:dyDescent="0.25">
      <c r="A106">
        <v>10.4</v>
      </c>
      <c r="B106">
        <f t="shared" si="2"/>
        <v>1.8245614035087718</v>
      </c>
      <c r="C106">
        <f t="shared" si="2"/>
        <v>4.4624515496597095</v>
      </c>
      <c r="D106">
        <f t="shared" si="3"/>
        <v>2</v>
      </c>
    </row>
    <row r="107" spans="1:4" x14ac:dyDescent="0.25">
      <c r="A107">
        <v>10.5</v>
      </c>
      <c r="B107">
        <f t="shared" si="2"/>
        <v>1.826086956521739</v>
      </c>
      <c r="C107">
        <f t="shared" si="2"/>
        <v>4.4951851746019651</v>
      </c>
      <c r="D107">
        <f t="shared" si="3"/>
        <v>2</v>
      </c>
    </row>
    <row r="108" spans="1:4" x14ac:dyDescent="0.25">
      <c r="A108">
        <v>10.6</v>
      </c>
      <c r="B108">
        <f t="shared" si="2"/>
        <v>1.8275862068965518</v>
      </c>
      <c r="C108">
        <f t="shared" si="2"/>
        <v>4.5278820596099711</v>
      </c>
      <c r="D108">
        <f t="shared" si="3"/>
        <v>2</v>
      </c>
    </row>
    <row r="109" spans="1:4" x14ac:dyDescent="0.25">
      <c r="A109">
        <v>10.7</v>
      </c>
      <c r="B109">
        <f t="shared" si="2"/>
        <v>1.829059829059829</v>
      </c>
      <c r="C109">
        <f t="shared" si="2"/>
        <v>4.5605427233796112</v>
      </c>
      <c r="D109">
        <f t="shared" si="3"/>
        <v>2</v>
      </c>
    </row>
    <row r="110" spans="1:4" x14ac:dyDescent="0.25">
      <c r="A110">
        <v>10.8</v>
      </c>
      <c r="B110">
        <f t="shared" si="2"/>
        <v>1.8305084745762712</v>
      </c>
      <c r="C110">
        <f t="shared" si="2"/>
        <v>4.5931676725154986</v>
      </c>
      <c r="D110">
        <f t="shared" si="3"/>
        <v>2</v>
      </c>
    </row>
    <row r="111" spans="1:4" x14ac:dyDescent="0.25">
      <c r="A111">
        <v>10.9</v>
      </c>
      <c r="B111">
        <f t="shared" si="2"/>
        <v>1.8319327731092439</v>
      </c>
      <c r="C111">
        <f t="shared" si="2"/>
        <v>4.6257574019219172</v>
      </c>
      <c r="D111">
        <f t="shared" si="3"/>
        <v>2</v>
      </c>
    </row>
    <row r="112" spans="1:4" x14ac:dyDescent="0.25">
      <c r="A112">
        <v>11</v>
      </c>
      <c r="B112">
        <f t="shared" si="2"/>
        <v>1.8333333333333335</v>
      </c>
      <c r="C112">
        <f t="shared" si="2"/>
        <v>4.6583123951776999</v>
      </c>
      <c r="D112">
        <f t="shared" si="3"/>
        <v>2</v>
      </c>
    </row>
    <row r="113" spans="1:4" x14ac:dyDescent="0.25">
      <c r="A113">
        <v>11.1</v>
      </c>
      <c r="B113">
        <f t="shared" si="2"/>
        <v>1.834710743801653</v>
      </c>
      <c r="C113">
        <f t="shared" si="2"/>
        <v>4.690833124895768</v>
      </c>
      <c r="D113">
        <f t="shared" si="3"/>
        <v>2</v>
      </c>
    </row>
    <row r="114" spans="1:4" x14ac:dyDescent="0.25">
      <c r="A114">
        <v>11.2</v>
      </c>
      <c r="B114">
        <f t="shared" si="2"/>
        <v>1.8360655737704921</v>
      </c>
      <c r="C114">
        <f t="shared" si="2"/>
        <v>4.7233200530681509</v>
      </c>
      <c r="D114">
        <f t="shared" si="3"/>
        <v>2</v>
      </c>
    </row>
    <row r="115" spans="1:4" x14ac:dyDescent="0.25">
      <c r="A115">
        <v>11.3</v>
      </c>
      <c r="B115">
        <f t="shared" si="2"/>
        <v>1.8373983739837401</v>
      </c>
      <c r="C115">
        <f t="shared" si="2"/>
        <v>4.7557736313971608</v>
      </c>
      <c r="D115">
        <f t="shared" si="3"/>
        <v>2</v>
      </c>
    </row>
    <row r="116" spans="1:4" x14ac:dyDescent="0.25">
      <c r="A116">
        <v>11.4</v>
      </c>
      <c r="B116">
        <f t="shared" si="2"/>
        <v>1.8387096774193548</v>
      </c>
      <c r="C116">
        <f t="shared" si="2"/>
        <v>4.788194301613415</v>
      </c>
      <c r="D116">
        <f t="shared" si="3"/>
        <v>2</v>
      </c>
    </row>
    <row r="117" spans="1:4" x14ac:dyDescent="0.25">
      <c r="A117">
        <v>11.5</v>
      </c>
      <c r="B117">
        <f t="shared" si="2"/>
        <v>1.84</v>
      </c>
      <c r="C117">
        <f t="shared" si="2"/>
        <v>4.8205824957813181</v>
      </c>
      <c r="D117">
        <f t="shared" si="3"/>
        <v>2</v>
      </c>
    </row>
    <row r="118" spans="1:4" x14ac:dyDescent="0.25">
      <c r="A118">
        <v>11.6</v>
      </c>
      <c r="B118">
        <f t="shared" si="2"/>
        <v>1.8412698412698412</v>
      </c>
      <c r="C118">
        <f t="shared" si="2"/>
        <v>4.8529386365926399</v>
      </c>
      <c r="D118">
        <f t="shared" si="3"/>
        <v>2</v>
      </c>
    </row>
    <row r="119" spans="1:4" x14ac:dyDescent="0.25">
      <c r="A119">
        <v>11.7</v>
      </c>
      <c r="B119">
        <f t="shared" si="2"/>
        <v>1.8425196850393701</v>
      </c>
      <c r="C119">
        <f t="shared" si="2"/>
        <v>4.8852631376487068</v>
      </c>
      <c r="D119">
        <f t="shared" si="3"/>
        <v>2</v>
      </c>
    </row>
    <row r="120" spans="1:4" x14ac:dyDescent="0.25">
      <c r="A120">
        <v>11.8</v>
      </c>
      <c r="B120">
        <f t="shared" si="2"/>
        <v>1.84375</v>
      </c>
      <c r="C120">
        <f t="shared" si="2"/>
        <v>4.9175564037317665</v>
      </c>
      <c r="D120">
        <f t="shared" si="3"/>
        <v>2</v>
      </c>
    </row>
    <row r="121" spans="1:4" x14ac:dyDescent="0.25">
      <c r="A121">
        <v>11.9</v>
      </c>
      <c r="B121">
        <f t="shared" si="2"/>
        <v>1.8449612403100777</v>
      </c>
      <c r="C121">
        <f t="shared" si="2"/>
        <v>4.9498188310660325</v>
      </c>
      <c r="D121">
        <f t="shared" si="3"/>
        <v>2</v>
      </c>
    </row>
    <row r="122" spans="1:4" x14ac:dyDescent="0.25">
      <c r="A122">
        <v>12</v>
      </c>
      <c r="B122">
        <f t="shared" si="2"/>
        <v>1.8461538461538463</v>
      </c>
      <c r="C122">
        <f t="shared" si="2"/>
        <v>4.9820508075688767</v>
      </c>
      <c r="D122">
        <f t="shared" si="3"/>
        <v>2</v>
      </c>
    </row>
    <row r="123" spans="1:4" x14ac:dyDescent="0.25">
      <c r="A123">
        <v>12.1</v>
      </c>
      <c r="B123">
        <f t="shared" si="2"/>
        <v>1.8473282442748094</v>
      </c>
      <c r="C123">
        <f t="shared" si="2"/>
        <v>5.014252713092608</v>
      </c>
      <c r="D123">
        <f t="shared" si="3"/>
        <v>2</v>
      </c>
    </row>
    <row r="124" spans="1:4" x14ac:dyDescent="0.25">
      <c r="A124">
        <v>12.2</v>
      </c>
      <c r="B124">
        <f t="shared" si="2"/>
        <v>1.8484848484848484</v>
      </c>
      <c r="C124">
        <f t="shared" si="2"/>
        <v>5.0464249196572979</v>
      </c>
      <c r="D124">
        <f t="shared" si="3"/>
        <v>2</v>
      </c>
    </row>
    <row r="125" spans="1:4" x14ac:dyDescent="0.25">
      <c r="A125">
        <v>12.3</v>
      </c>
      <c r="B125">
        <f t="shared" si="2"/>
        <v>1.8496240601503759</v>
      </c>
      <c r="C125">
        <f t="shared" si="2"/>
        <v>5.0785677916750185</v>
      </c>
      <c r="D125">
        <f t="shared" si="3"/>
        <v>2</v>
      </c>
    </row>
    <row r="126" spans="1:4" x14ac:dyDescent="0.25">
      <c r="A126">
        <v>12.4</v>
      </c>
      <c r="B126">
        <f t="shared" si="2"/>
        <v>1.8507462686567164</v>
      </c>
      <c r="C126">
        <f t="shared" si="2"/>
        <v>5.1106816861659006</v>
      </c>
      <c r="D126">
        <f t="shared" si="3"/>
        <v>2</v>
      </c>
    </row>
    <row r="127" spans="1:4" x14ac:dyDescent="0.25">
      <c r="A127">
        <v>12.5</v>
      </c>
      <c r="B127">
        <f t="shared" si="2"/>
        <v>1.8518518518518516</v>
      </c>
      <c r="C127">
        <f t="shared" si="2"/>
        <v>5.1427669529663689</v>
      </c>
      <c r="D127">
        <f t="shared" si="3"/>
        <v>2</v>
      </c>
    </row>
    <row r="128" spans="1:4" x14ac:dyDescent="0.25">
      <c r="A128">
        <v>12.6</v>
      </c>
      <c r="B128">
        <f t="shared" si="2"/>
        <v>1.8529411764705883</v>
      </c>
      <c r="C128">
        <f t="shared" si="2"/>
        <v>5.1748239349298863</v>
      </c>
      <c r="D128">
        <f t="shared" si="3"/>
        <v>2</v>
      </c>
    </row>
    <row r="129" spans="1:4" x14ac:dyDescent="0.25">
      <c r="A129">
        <v>12.7</v>
      </c>
      <c r="B129">
        <f t="shared" si="2"/>
        <v>1.8540145985401459</v>
      </c>
      <c r="C129">
        <f t="shared" si="2"/>
        <v>5.206852968120546</v>
      </c>
      <c r="D129">
        <f t="shared" si="3"/>
        <v>2</v>
      </c>
    </row>
    <row r="130" spans="1:4" x14ac:dyDescent="0.25">
      <c r="A130">
        <v>12.8</v>
      </c>
      <c r="B130">
        <f t="shared" si="2"/>
        <v>1.855072463768116</v>
      </c>
      <c r="C130">
        <f t="shared" si="2"/>
        <v>5.2388543819998308</v>
      </c>
      <c r="D130">
        <f t="shared" si="3"/>
        <v>2</v>
      </c>
    </row>
    <row r="131" spans="1:4" x14ac:dyDescent="0.25">
      <c r="A131">
        <v>12.9</v>
      </c>
      <c r="B131">
        <f t="shared" ref="B131:C194" si="4">($A$1+(1-$A$1)*$A131^((B$1-1)/B$1))^(B$1/(B$1-1))</f>
        <v>1.8561151079136693</v>
      </c>
      <c r="C131">
        <f t="shared" si="4"/>
        <v>5.2708284996067967</v>
      </c>
      <c r="D131">
        <f t="shared" ref="D131:D194" si="5">$A$1^(-1)</f>
        <v>2</v>
      </c>
    </row>
    <row r="132" spans="1:4" x14ac:dyDescent="0.25">
      <c r="A132">
        <v>13</v>
      </c>
      <c r="B132">
        <f t="shared" si="4"/>
        <v>1.8571428571428572</v>
      </c>
      <c r="C132">
        <f t="shared" si="4"/>
        <v>5.3027756377319957</v>
      </c>
      <c r="D132">
        <f t="shared" si="5"/>
        <v>2</v>
      </c>
    </row>
    <row r="133" spans="1:4" x14ac:dyDescent="0.25">
      <c r="A133">
        <v>13.1</v>
      </c>
      <c r="B133">
        <f t="shared" si="4"/>
        <v>1.8581560283687946</v>
      </c>
      <c r="C133">
        <f t="shared" si="4"/>
        <v>5.3346961070853851</v>
      </c>
      <c r="D133">
        <f t="shared" si="5"/>
        <v>2</v>
      </c>
    </row>
    <row r="134" spans="1:4" x14ac:dyDescent="0.25">
      <c r="A134">
        <v>13.2</v>
      </c>
      <c r="B134">
        <f t="shared" si="4"/>
        <v>1.859154929577465</v>
      </c>
      <c r="C134">
        <f t="shared" si="4"/>
        <v>5.3665902124584948</v>
      </c>
      <c r="D134">
        <f t="shared" si="5"/>
        <v>2</v>
      </c>
    </row>
    <row r="135" spans="1:4" x14ac:dyDescent="0.25">
      <c r="A135">
        <v>13.3</v>
      </c>
      <c r="B135">
        <f t="shared" si="4"/>
        <v>1.86013986013986</v>
      </c>
      <c r="C135">
        <f t="shared" si="4"/>
        <v>5.3984582528810483</v>
      </c>
      <c r="D135">
        <f t="shared" si="5"/>
        <v>2</v>
      </c>
    </row>
    <row r="136" spans="1:4" x14ac:dyDescent="0.25">
      <c r="A136">
        <v>13.4</v>
      </c>
      <c r="B136">
        <f t="shared" si="4"/>
        <v>1.8611111111111112</v>
      </c>
      <c r="C136">
        <f t="shared" si="4"/>
        <v>5.4303005217723133</v>
      </c>
      <c r="D136">
        <f t="shared" si="5"/>
        <v>2</v>
      </c>
    </row>
    <row r="137" spans="1:4" x14ac:dyDescent="0.25">
      <c r="A137">
        <v>13.5</v>
      </c>
      <c r="B137">
        <f t="shared" si="4"/>
        <v>1.8620689655172415</v>
      </c>
      <c r="C137">
        <f t="shared" si="4"/>
        <v>5.4621173070873841</v>
      </c>
      <c r="D137">
        <f t="shared" si="5"/>
        <v>2</v>
      </c>
    </row>
    <row r="138" spans="1:4" x14ac:dyDescent="0.25">
      <c r="A138">
        <v>13.6</v>
      </c>
      <c r="B138">
        <f t="shared" si="4"/>
        <v>1.8630136986301371</v>
      </c>
      <c r="C138">
        <f t="shared" si="4"/>
        <v>5.4939088914585774</v>
      </c>
      <c r="D138">
        <f t="shared" si="5"/>
        <v>2</v>
      </c>
    </row>
    <row r="139" spans="1:4" x14ac:dyDescent="0.25">
      <c r="A139">
        <v>13.7</v>
      </c>
      <c r="B139">
        <f t="shared" si="4"/>
        <v>1.8639455782312926</v>
      </c>
      <c r="C139">
        <f t="shared" si="4"/>
        <v>5.5256755523321734</v>
      </c>
      <c r="D139">
        <f t="shared" si="5"/>
        <v>2</v>
      </c>
    </row>
    <row r="140" spans="1:4" x14ac:dyDescent="0.25">
      <c r="A140">
        <v>13.8</v>
      </c>
      <c r="B140">
        <f t="shared" si="4"/>
        <v>1.8648648648648647</v>
      </c>
      <c r="C140">
        <f t="shared" si="4"/>
        <v>5.5574175621006701</v>
      </c>
      <c r="D140">
        <f t="shared" si="5"/>
        <v>2</v>
      </c>
    </row>
    <row r="141" spans="1:4" x14ac:dyDescent="0.25">
      <c r="A141">
        <v>13.9</v>
      </c>
      <c r="B141">
        <f t="shared" si="4"/>
        <v>1.8657718120805369</v>
      </c>
      <c r="C141">
        <f t="shared" si="4"/>
        <v>5.589135188230725</v>
      </c>
      <c r="D141">
        <f t="shared" si="5"/>
        <v>2</v>
      </c>
    </row>
    <row r="142" spans="1:4" x14ac:dyDescent="0.25">
      <c r="A142">
        <v>14</v>
      </c>
      <c r="B142">
        <f t="shared" si="4"/>
        <v>1.8666666666666667</v>
      </c>
      <c r="C142">
        <f t="shared" si="4"/>
        <v>5.6208286933869696</v>
      </c>
      <c r="D142">
        <f t="shared" si="5"/>
        <v>2</v>
      </c>
    </row>
    <row r="143" spans="1:4" x14ac:dyDescent="0.25">
      <c r="A143">
        <v>14.1</v>
      </c>
      <c r="B143">
        <f t="shared" si="4"/>
        <v>1.867549668874172</v>
      </c>
      <c r="C143">
        <f t="shared" si="4"/>
        <v>5.652498335551857</v>
      </c>
      <c r="D143">
        <f t="shared" si="5"/>
        <v>2</v>
      </c>
    </row>
    <row r="144" spans="1:4" x14ac:dyDescent="0.25">
      <c r="A144">
        <v>14.2</v>
      </c>
      <c r="B144">
        <f t="shared" si="4"/>
        <v>1.8684210526315792</v>
      </c>
      <c r="C144">
        <f t="shared" si="4"/>
        <v>5.684144368141677</v>
      </c>
      <c r="D144">
        <f t="shared" si="5"/>
        <v>2</v>
      </c>
    </row>
    <row r="145" spans="1:4" x14ac:dyDescent="0.25">
      <c r="A145">
        <v>14.3</v>
      </c>
      <c r="B145">
        <f t="shared" si="4"/>
        <v>1.8692810457516338</v>
      </c>
      <c r="C145">
        <f t="shared" si="4"/>
        <v>5.7157670401189051</v>
      </c>
      <c r="D145">
        <f t="shared" si="5"/>
        <v>2</v>
      </c>
    </row>
    <row r="146" spans="1:4" x14ac:dyDescent="0.25">
      <c r="A146">
        <v>14.4</v>
      </c>
      <c r="B146">
        <f t="shared" si="4"/>
        <v>1.8701298701298701</v>
      </c>
      <c r="C146">
        <f t="shared" si="4"/>
        <v>5.7473665961010276</v>
      </c>
      <c r="D146">
        <f t="shared" si="5"/>
        <v>2</v>
      </c>
    </row>
    <row r="147" spans="1:4" x14ac:dyDescent="0.25">
      <c r="A147">
        <v>14.5</v>
      </c>
      <c r="B147">
        <f t="shared" si="4"/>
        <v>1.870967741935484</v>
      </c>
      <c r="C147">
        <f t="shared" si="4"/>
        <v>5.7789432764659772</v>
      </c>
      <c r="D147">
        <f t="shared" si="5"/>
        <v>2</v>
      </c>
    </row>
    <row r="148" spans="1:4" x14ac:dyDescent="0.25">
      <c r="A148">
        <v>14.6</v>
      </c>
      <c r="B148">
        <f t="shared" si="4"/>
        <v>1.8717948717948718</v>
      </c>
      <c r="C148">
        <f t="shared" si="4"/>
        <v>5.8104973174542804</v>
      </c>
      <c r="D148">
        <f t="shared" si="5"/>
        <v>2</v>
      </c>
    </row>
    <row r="149" spans="1:4" x14ac:dyDescent="0.25">
      <c r="A149">
        <v>14.7</v>
      </c>
      <c r="B149">
        <f t="shared" si="4"/>
        <v>1.8726114649681527</v>
      </c>
      <c r="C149">
        <f t="shared" si="4"/>
        <v>5.8420289512680812</v>
      </c>
      <c r="D149">
        <f t="shared" si="5"/>
        <v>2</v>
      </c>
    </row>
    <row r="150" spans="1:4" x14ac:dyDescent="0.25">
      <c r="A150">
        <v>14.8</v>
      </c>
      <c r="B150">
        <f t="shared" si="4"/>
        <v>1.8734177215189873</v>
      </c>
      <c r="C150">
        <f t="shared" si="4"/>
        <v>5.8735384061671336</v>
      </c>
      <c r="D150">
        <f t="shared" si="5"/>
        <v>2</v>
      </c>
    </row>
    <row r="151" spans="1:4" x14ac:dyDescent="0.25">
      <c r="A151">
        <v>14.9</v>
      </c>
      <c r="B151">
        <f t="shared" si="4"/>
        <v>1.8742138364779877</v>
      </c>
      <c r="C151">
        <f t="shared" si="4"/>
        <v>5.90502590656188</v>
      </c>
      <c r="D151">
        <f t="shared" si="5"/>
        <v>2</v>
      </c>
    </row>
    <row r="152" spans="1:4" x14ac:dyDescent="0.25">
      <c r="A152">
        <v>15</v>
      </c>
      <c r="B152">
        <f t="shared" si="4"/>
        <v>1.875</v>
      </c>
      <c r="C152">
        <f t="shared" si="4"/>
        <v>5.936491673103709</v>
      </c>
      <c r="D152">
        <f t="shared" si="5"/>
        <v>2</v>
      </c>
    </row>
    <row r="153" spans="1:4" x14ac:dyDescent="0.25">
      <c r="A153">
        <v>15.1</v>
      </c>
      <c r="B153">
        <f t="shared" si="4"/>
        <v>1.8757763975155282</v>
      </c>
      <c r="C153">
        <f t="shared" si="4"/>
        <v>5.9679359227725453</v>
      </c>
      <c r="D153">
        <f t="shared" si="5"/>
        <v>2</v>
      </c>
    </row>
    <row r="154" spans="1:4" x14ac:dyDescent="0.25">
      <c r="A154">
        <v>15.2</v>
      </c>
      <c r="B154">
        <f t="shared" si="4"/>
        <v>1.8765432098765431</v>
      </c>
      <c r="C154">
        <f t="shared" si="4"/>
        <v>5.9993588689617914</v>
      </c>
      <c r="D154">
        <f t="shared" si="5"/>
        <v>2</v>
      </c>
    </row>
    <row r="155" spans="1:4" x14ac:dyDescent="0.25">
      <c r="A155">
        <v>15.3</v>
      </c>
      <c r="B155">
        <f t="shared" si="4"/>
        <v>1.8773006134969326</v>
      </c>
      <c r="C155">
        <f t="shared" si="4"/>
        <v>6.0307607215607959</v>
      </c>
      <c r="D155">
        <f t="shared" si="5"/>
        <v>2</v>
      </c>
    </row>
    <row r="156" spans="1:4" x14ac:dyDescent="0.25">
      <c r="A156">
        <v>15.4</v>
      </c>
      <c r="B156">
        <f t="shared" si="4"/>
        <v>1.878048780487805</v>
      </c>
      <c r="C156">
        <f t="shared" si="4"/>
        <v>6.0621416870348579</v>
      </c>
      <c r="D156">
        <f t="shared" si="5"/>
        <v>2</v>
      </c>
    </row>
    <row r="157" spans="1:4" x14ac:dyDescent="0.25">
      <c r="A157">
        <v>15.5</v>
      </c>
      <c r="B157">
        <f t="shared" si="4"/>
        <v>1.8787878787878789</v>
      </c>
      <c r="C157">
        <f t="shared" si="4"/>
        <v>6.0935019685029532</v>
      </c>
      <c r="D157">
        <f t="shared" si="5"/>
        <v>2</v>
      </c>
    </row>
    <row r="158" spans="1:4" x14ac:dyDescent="0.25">
      <c r="A158">
        <v>15.6</v>
      </c>
      <c r="B158">
        <f t="shared" si="4"/>
        <v>1.8795180722891567</v>
      </c>
      <c r="C158">
        <f t="shared" si="4"/>
        <v>6.1248417658131498</v>
      </c>
      <c r="D158">
        <f t="shared" si="5"/>
        <v>2</v>
      </c>
    </row>
    <row r="159" spans="1:4" x14ac:dyDescent="0.25">
      <c r="A159">
        <v>15.7</v>
      </c>
      <c r="B159">
        <f t="shared" si="4"/>
        <v>1.8802395209580838</v>
      </c>
      <c r="C159">
        <f t="shared" si="4"/>
        <v>6.1561612756158937</v>
      </c>
      <c r="D159">
        <f t="shared" si="5"/>
        <v>2</v>
      </c>
    </row>
    <row r="160" spans="1:4" x14ac:dyDescent="0.25">
      <c r="A160">
        <v>15.8</v>
      </c>
      <c r="B160">
        <f t="shared" si="4"/>
        <v>1.8809523809523812</v>
      </c>
      <c r="C160">
        <f t="shared" si="4"/>
        <v>6.1874606914351782</v>
      </c>
      <c r="D160">
        <f t="shared" si="5"/>
        <v>2</v>
      </c>
    </row>
    <row r="161" spans="1:4" x14ac:dyDescent="0.25">
      <c r="A161">
        <v>15.9</v>
      </c>
      <c r="B161">
        <f t="shared" si="4"/>
        <v>1.8816568047337279</v>
      </c>
      <c r="C161">
        <f t="shared" si="4"/>
        <v>6.2187402037376893</v>
      </c>
      <c r="D161">
        <f t="shared" si="5"/>
        <v>2</v>
      </c>
    </row>
    <row r="162" spans="1:4" x14ac:dyDescent="0.25">
      <c r="A162">
        <v>16</v>
      </c>
      <c r="B162">
        <f t="shared" si="4"/>
        <v>1.8823529411764706</v>
      </c>
      <c r="C162">
        <f t="shared" si="4"/>
        <v>6.25</v>
      </c>
      <c r="D162">
        <f t="shared" si="5"/>
        <v>2</v>
      </c>
    </row>
    <row r="163" spans="1:4" x14ac:dyDescent="0.25">
      <c r="A163">
        <v>16.100000000000001</v>
      </c>
      <c r="B163">
        <f t="shared" si="4"/>
        <v>1.8830409356725148</v>
      </c>
      <c r="C163">
        <f t="shared" si="4"/>
        <v>6.2812402647738894</v>
      </c>
      <c r="D163">
        <f t="shared" si="5"/>
        <v>2</v>
      </c>
    </row>
    <row r="164" spans="1:4" x14ac:dyDescent="0.25">
      <c r="A164">
        <v>16.2</v>
      </c>
      <c r="B164">
        <f t="shared" si="4"/>
        <v>1.8837209302325582</v>
      </c>
      <c r="C164">
        <f t="shared" si="4"/>
        <v>6.3124611797498105</v>
      </c>
      <c r="D164">
        <f t="shared" si="5"/>
        <v>2</v>
      </c>
    </row>
    <row r="165" spans="1:4" x14ac:dyDescent="0.25">
      <c r="A165">
        <v>16.3</v>
      </c>
      <c r="B165">
        <f t="shared" si="4"/>
        <v>1.8843930635838149</v>
      </c>
      <c r="C165">
        <f t="shared" si="4"/>
        <v>6.3436629238186342</v>
      </c>
      <c r="D165">
        <f t="shared" si="5"/>
        <v>2</v>
      </c>
    </row>
    <row r="166" spans="1:4" x14ac:dyDescent="0.25">
      <c r="A166">
        <v>16.399999999999999</v>
      </c>
      <c r="B166">
        <f t="shared" si="4"/>
        <v>1.8850574712643677</v>
      </c>
      <c r="C166">
        <f t="shared" si="4"/>
        <v>6.3748456731316576</v>
      </c>
      <c r="D166">
        <f t="shared" si="5"/>
        <v>2</v>
      </c>
    </row>
    <row r="167" spans="1:4" x14ac:dyDescent="0.25">
      <c r="A167">
        <v>16.5</v>
      </c>
      <c r="B167">
        <f t="shared" si="4"/>
        <v>1.8857142857142859</v>
      </c>
      <c r="C167">
        <f t="shared" si="4"/>
        <v>6.4060096011589911</v>
      </c>
      <c r="D167">
        <f t="shared" si="5"/>
        <v>2</v>
      </c>
    </row>
    <row r="168" spans="1:4" x14ac:dyDescent="0.25">
      <c r="A168">
        <v>16.600000000000001</v>
      </c>
      <c r="B168">
        <f t="shared" si="4"/>
        <v>1.8863636363636362</v>
      </c>
      <c r="C168">
        <f t="shared" si="4"/>
        <v>6.4371548787463366</v>
      </c>
      <c r="D168">
        <f t="shared" si="5"/>
        <v>2</v>
      </c>
    </row>
    <row r="169" spans="1:4" x14ac:dyDescent="0.25">
      <c r="A169">
        <v>16.7</v>
      </c>
      <c r="B169">
        <f t="shared" si="4"/>
        <v>1.8870056497175141</v>
      </c>
      <c r="C169">
        <f t="shared" si="4"/>
        <v>6.4682816741702558</v>
      </c>
      <c r="D169">
        <f t="shared" si="5"/>
        <v>2</v>
      </c>
    </row>
    <row r="170" spans="1:4" x14ac:dyDescent="0.25">
      <c r="A170">
        <v>16.8</v>
      </c>
      <c r="B170">
        <f t="shared" si="4"/>
        <v>1.8876404494382022</v>
      </c>
      <c r="C170">
        <f t="shared" si="4"/>
        <v>6.4993901531919205</v>
      </c>
      <c r="D170">
        <f t="shared" si="5"/>
        <v>2</v>
      </c>
    </row>
    <row r="171" spans="1:4" x14ac:dyDescent="0.25">
      <c r="A171">
        <v>16.899999999999999</v>
      </c>
      <c r="B171">
        <f t="shared" si="4"/>
        <v>1.8882681564245809</v>
      </c>
      <c r="C171">
        <f t="shared" si="4"/>
        <v>6.5304804791094462</v>
      </c>
      <c r="D171">
        <f t="shared" si="5"/>
        <v>2</v>
      </c>
    </row>
    <row r="172" spans="1:4" x14ac:dyDescent="0.25">
      <c r="A172">
        <v>17</v>
      </c>
      <c r="B172">
        <f t="shared" si="4"/>
        <v>1.8888888888888888</v>
      </c>
      <c r="C172">
        <f t="shared" si="4"/>
        <v>6.5615528128088307</v>
      </c>
      <c r="D172">
        <f t="shared" si="5"/>
        <v>2</v>
      </c>
    </row>
    <row r="173" spans="1:4" x14ac:dyDescent="0.25">
      <c r="A173">
        <v>17.100000000000001</v>
      </c>
      <c r="B173">
        <f t="shared" si="4"/>
        <v>1.8895027624309395</v>
      </c>
      <c r="C173">
        <f t="shared" si="4"/>
        <v>6.5926073128135343</v>
      </c>
      <c r="D173">
        <f t="shared" si="5"/>
        <v>2</v>
      </c>
    </row>
    <row r="174" spans="1:4" x14ac:dyDescent="0.25">
      <c r="A174">
        <v>17.2</v>
      </c>
      <c r="B174">
        <f t="shared" si="4"/>
        <v>1.8901098901098898</v>
      </c>
      <c r="C174">
        <f t="shared" si="4"/>
        <v>6.6236441353327713</v>
      </c>
      <c r="D174">
        <f t="shared" si="5"/>
        <v>2</v>
      </c>
    </row>
    <row r="175" spans="1:4" x14ac:dyDescent="0.25">
      <c r="A175">
        <v>17.3</v>
      </c>
      <c r="B175">
        <f t="shared" si="4"/>
        <v>1.8907103825136611</v>
      </c>
      <c r="C175">
        <f t="shared" si="4"/>
        <v>6.6546634343085413</v>
      </c>
      <c r="D175">
        <f t="shared" si="5"/>
        <v>2</v>
      </c>
    </row>
    <row r="176" spans="1:4" x14ac:dyDescent="0.25">
      <c r="A176">
        <v>17.399999999999999</v>
      </c>
      <c r="B176">
        <f t="shared" si="4"/>
        <v>1.8913043478260869</v>
      </c>
      <c r="C176">
        <f t="shared" si="4"/>
        <v>6.6856653614614201</v>
      </c>
      <c r="D176">
        <f t="shared" si="5"/>
        <v>2</v>
      </c>
    </row>
    <row r="177" spans="1:4" x14ac:dyDescent="0.25">
      <c r="A177">
        <v>17.5</v>
      </c>
      <c r="B177">
        <f t="shared" si="4"/>
        <v>1.8918918918918919</v>
      </c>
      <c r="C177">
        <f t="shared" si="4"/>
        <v>6.7166500663351894</v>
      </c>
      <c r="D177">
        <f t="shared" si="5"/>
        <v>2</v>
      </c>
    </row>
    <row r="178" spans="1:4" x14ac:dyDescent="0.25">
      <c r="A178">
        <v>17.600000000000001</v>
      </c>
      <c r="B178">
        <f t="shared" si="4"/>
        <v>1.8924731182795698</v>
      </c>
      <c r="C178">
        <f t="shared" si="4"/>
        <v>6.7476176963403036</v>
      </c>
      <c r="D178">
        <f t="shared" si="5"/>
        <v>2</v>
      </c>
    </row>
    <row r="179" spans="1:4" x14ac:dyDescent="0.25">
      <c r="A179">
        <v>17.7</v>
      </c>
      <c r="B179">
        <f t="shared" si="4"/>
        <v>1.8930481283422462</v>
      </c>
      <c r="C179">
        <f t="shared" si="4"/>
        <v>6.7785683967962633</v>
      </c>
      <c r="D179">
        <f t="shared" si="5"/>
        <v>2</v>
      </c>
    </row>
    <row r="180" spans="1:4" x14ac:dyDescent="0.25">
      <c r="A180">
        <v>17.8</v>
      </c>
      <c r="B180">
        <f t="shared" si="4"/>
        <v>1.8936170212765959</v>
      </c>
      <c r="C180">
        <f t="shared" si="4"/>
        <v>6.8095023109728983</v>
      </c>
      <c r="D180">
        <f t="shared" si="5"/>
        <v>2</v>
      </c>
    </row>
    <row r="181" spans="1:4" x14ac:dyDescent="0.25">
      <c r="A181">
        <v>17.899999999999999</v>
      </c>
      <c r="B181">
        <f t="shared" si="4"/>
        <v>1.8941798941798942</v>
      </c>
      <c r="C181">
        <f t="shared" si="4"/>
        <v>6.840419580130618</v>
      </c>
      <c r="D181">
        <f t="shared" si="5"/>
        <v>2</v>
      </c>
    </row>
    <row r="182" spans="1:4" x14ac:dyDescent="0.25">
      <c r="A182">
        <v>18</v>
      </c>
      <c r="B182">
        <f t="shared" si="4"/>
        <v>1.8947368421052631</v>
      </c>
      <c r="C182">
        <f t="shared" si="4"/>
        <v>6.8713203435596419</v>
      </c>
      <c r="D182">
        <f t="shared" si="5"/>
        <v>2</v>
      </c>
    </row>
    <row r="183" spans="1:4" x14ac:dyDescent="0.25">
      <c r="A183">
        <v>18.100000000000001</v>
      </c>
      <c r="B183">
        <f t="shared" si="4"/>
        <v>1.8952879581151831</v>
      </c>
      <c r="C183">
        <f t="shared" si="4"/>
        <v>6.9022047386182646</v>
      </c>
      <c r="D183">
        <f t="shared" si="5"/>
        <v>2</v>
      </c>
    </row>
    <row r="184" spans="1:4" x14ac:dyDescent="0.25">
      <c r="A184">
        <v>18.2</v>
      </c>
      <c r="B184">
        <f t="shared" si="4"/>
        <v>1.8958333333333333</v>
      </c>
      <c r="C184">
        <f t="shared" si="4"/>
        <v>6.9330729007701546</v>
      </c>
      <c r="D184">
        <f t="shared" si="5"/>
        <v>2</v>
      </c>
    </row>
    <row r="185" spans="1:4" x14ac:dyDescent="0.25">
      <c r="A185">
        <v>18.3</v>
      </c>
      <c r="B185">
        <f t="shared" si="4"/>
        <v>1.8963730569948185</v>
      </c>
      <c r="C185">
        <f t="shared" si="4"/>
        <v>6.9639249636207445</v>
      </c>
      <c r="D185">
        <f t="shared" si="5"/>
        <v>2</v>
      </c>
    </row>
    <row r="186" spans="1:4" x14ac:dyDescent="0.25">
      <c r="A186">
        <v>18.399999999999999</v>
      </c>
      <c r="B186">
        <f t="shared" si="4"/>
        <v>1.8969072164948453</v>
      </c>
      <c r="C186">
        <f t="shared" si="4"/>
        <v>6.9947610589527223</v>
      </c>
      <c r="D186">
        <f t="shared" si="5"/>
        <v>2</v>
      </c>
    </row>
    <row r="187" spans="1:4" x14ac:dyDescent="0.25">
      <c r="A187">
        <v>18.5</v>
      </c>
      <c r="B187">
        <f t="shared" si="4"/>
        <v>1.8974358974358976</v>
      </c>
      <c r="C187">
        <f t="shared" si="4"/>
        <v>7.0255813167606567</v>
      </c>
      <c r="D187">
        <f t="shared" si="5"/>
        <v>2</v>
      </c>
    </row>
    <row r="188" spans="1:4" x14ac:dyDescent="0.25">
      <c r="A188">
        <v>18.600000000000001</v>
      </c>
      <c r="B188">
        <f t="shared" si="4"/>
        <v>1.8979591836734695</v>
      </c>
      <c r="C188">
        <f t="shared" si="4"/>
        <v>7.056385865284784</v>
      </c>
      <c r="D188">
        <f t="shared" si="5"/>
        <v>2</v>
      </c>
    </row>
    <row r="189" spans="1:4" x14ac:dyDescent="0.25">
      <c r="A189">
        <v>18.7</v>
      </c>
      <c r="B189">
        <f t="shared" si="4"/>
        <v>1.898477157360406</v>
      </c>
      <c r="C189">
        <f t="shared" si="4"/>
        <v>7.0871748310439662</v>
      </c>
      <c r="D189">
        <f t="shared" si="5"/>
        <v>2</v>
      </c>
    </row>
    <row r="190" spans="1:4" x14ac:dyDescent="0.25">
      <c r="A190">
        <v>18.8</v>
      </c>
      <c r="B190">
        <f t="shared" si="4"/>
        <v>1.8989898989898992</v>
      </c>
      <c r="C190">
        <f t="shared" si="4"/>
        <v>7.1179483388678797</v>
      </c>
      <c r="D190">
        <f t="shared" si="5"/>
        <v>2</v>
      </c>
    </row>
    <row r="191" spans="1:4" x14ac:dyDescent="0.25">
      <c r="A191">
        <v>18.899999999999999</v>
      </c>
      <c r="B191">
        <f t="shared" si="4"/>
        <v>1.8994974874371857</v>
      </c>
      <c r="C191">
        <f t="shared" si="4"/>
        <v>7.1487065119284159</v>
      </c>
      <c r="D191">
        <f t="shared" si="5"/>
        <v>2</v>
      </c>
    </row>
    <row r="192" spans="1:4" x14ac:dyDescent="0.25">
      <c r="A192">
        <v>19</v>
      </c>
      <c r="B192">
        <f t="shared" si="4"/>
        <v>1.9000000000000001</v>
      </c>
      <c r="C192">
        <f t="shared" si="4"/>
        <v>7.1794494717703383</v>
      </c>
      <c r="D192">
        <f t="shared" si="5"/>
        <v>2</v>
      </c>
    </row>
    <row r="193" spans="1:4" x14ac:dyDescent="0.25">
      <c r="A193">
        <v>19.100000000000001</v>
      </c>
      <c r="B193">
        <f t="shared" si="4"/>
        <v>1.900497512437811</v>
      </c>
      <c r="C193">
        <f t="shared" si="4"/>
        <v>7.2101773383412162</v>
      </c>
      <c r="D193">
        <f t="shared" si="5"/>
        <v>2</v>
      </c>
    </row>
    <row r="194" spans="1:4" x14ac:dyDescent="0.25">
      <c r="A194">
        <v>19.2</v>
      </c>
      <c r="B194">
        <f t="shared" si="4"/>
        <v>1.9009900990099011</v>
      </c>
      <c r="C194">
        <f t="shared" si="4"/>
        <v>7.2408902300206632</v>
      </c>
      <c r="D194">
        <f t="shared" si="5"/>
        <v>2</v>
      </c>
    </row>
    <row r="195" spans="1:4" x14ac:dyDescent="0.25">
      <c r="A195">
        <v>19.3</v>
      </c>
      <c r="B195">
        <f t="shared" ref="B195:C202" si="6">($A$1+(1-$A$1)*$A195^((B$1-1)/B$1))^(B$1/(B$1-1))</f>
        <v>1.9014778325123154</v>
      </c>
      <c r="C195">
        <f t="shared" si="6"/>
        <v>7.2715882636488809</v>
      </c>
      <c r="D195">
        <f t="shared" ref="D195:D202" si="7">$A$1^(-1)</f>
        <v>2</v>
      </c>
    </row>
    <row r="196" spans="1:4" x14ac:dyDescent="0.25">
      <c r="A196">
        <v>19.399999999999999</v>
      </c>
      <c r="B196">
        <f t="shared" si="6"/>
        <v>1.9019607843137254</v>
      </c>
      <c r="C196">
        <f t="shared" si="6"/>
        <v>7.3022715545545243</v>
      </c>
      <c r="D196">
        <f t="shared" si="7"/>
        <v>2</v>
      </c>
    </row>
    <row r="197" spans="1:4" x14ac:dyDescent="0.25">
      <c r="A197">
        <v>19.5</v>
      </c>
      <c r="B197">
        <f t="shared" si="6"/>
        <v>1.9024390243902438</v>
      </c>
      <c r="C197">
        <f t="shared" si="6"/>
        <v>7.3329402165819628</v>
      </c>
      <c r="D197">
        <f t="shared" si="7"/>
        <v>2</v>
      </c>
    </row>
    <row r="198" spans="1:4" x14ac:dyDescent="0.25">
      <c r="A198">
        <v>19.600000000000001</v>
      </c>
      <c r="B198">
        <f t="shared" si="6"/>
        <v>1.9029126213592233</v>
      </c>
      <c r="C198">
        <f t="shared" si="6"/>
        <v>7.3635943621178654</v>
      </c>
      <c r="D198">
        <f t="shared" si="7"/>
        <v>2</v>
      </c>
    </row>
    <row r="199" spans="1:4" x14ac:dyDescent="0.25">
      <c r="A199">
        <v>19.7</v>
      </c>
      <c r="B199">
        <f t="shared" si="6"/>
        <v>1.9033816425120775</v>
      </c>
      <c r="C199">
        <f t="shared" si="6"/>
        <v>7.394234102117216</v>
      </c>
      <c r="D199">
        <f t="shared" si="7"/>
        <v>2</v>
      </c>
    </row>
    <row r="200" spans="1:4" x14ac:dyDescent="0.25">
      <c r="A200">
        <v>19.8</v>
      </c>
      <c r="B200">
        <f t="shared" si="6"/>
        <v>1.9038461538461537</v>
      </c>
      <c r="C200">
        <f t="shared" si="6"/>
        <v>7.4248595461287001</v>
      </c>
      <c r="D200">
        <f t="shared" si="7"/>
        <v>2</v>
      </c>
    </row>
    <row r="201" spans="1:4" x14ac:dyDescent="0.25">
      <c r="A201">
        <v>19.899999999999999</v>
      </c>
      <c r="B201">
        <f t="shared" si="6"/>
        <v>1.9043062200956937</v>
      </c>
      <c r="C201">
        <f t="shared" si="6"/>
        <v>7.4554708023195468</v>
      </c>
      <c r="D201">
        <f t="shared" si="7"/>
        <v>2</v>
      </c>
    </row>
    <row r="202" spans="1:4" x14ac:dyDescent="0.25">
      <c r="A202">
        <v>20</v>
      </c>
      <c r="B202">
        <f t="shared" si="6"/>
        <v>1.9047619047619047</v>
      </c>
      <c r="C202">
        <f t="shared" si="6"/>
        <v>7.4860679774997907</v>
      </c>
      <c r="D202">
        <f t="shared" si="7"/>
        <v>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C54A-AD4E-4E73-989A-F4045B195BD9}">
  <dimension ref="A1:D102"/>
  <sheetViews>
    <sheetView tabSelected="1" workbookViewId="0">
      <selection activeCell="T15" sqref="T15"/>
    </sheetView>
  </sheetViews>
  <sheetFormatPr defaultRowHeight="15" x14ac:dyDescent="0.25"/>
  <cols>
    <col min="4" max="4" width="12" bestFit="1" customWidth="1"/>
  </cols>
  <sheetData>
    <row r="1" spans="1:4" x14ac:dyDescent="0.25">
      <c r="B1">
        <v>0.25</v>
      </c>
      <c r="C1">
        <v>0.5</v>
      </c>
      <c r="D1">
        <v>0.75</v>
      </c>
    </row>
    <row r="2" spans="1:4" x14ac:dyDescent="0.25">
      <c r="A2">
        <v>0</v>
      </c>
      <c r="B2">
        <f>(1/(1-$A2))^(B$1/(1-B$1))</f>
        <v>1</v>
      </c>
      <c r="C2">
        <f t="shared" ref="C2:D17" si="0">(1/(1-$A2))^(C$1/(1-C$1))</f>
        <v>1</v>
      </c>
      <c r="D2">
        <f t="shared" si="0"/>
        <v>1</v>
      </c>
    </row>
    <row r="3" spans="1:4" x14ac:dyDescent="0.25">
      <c r="A3">
        <v>0.01</v>
      </c>
      <c r="B3">
        <f t="shared" ref="B3:D34" si="1">(1/(1-$A3))^(B$1/(1-B$1))</f>
        <v>1.0033557298479858</v>
      </c>
      <c r="C3">
        <f t="shared" si="0"/>
        <v>1.0101010101010102</v>
      </c>
      <c r="D3">
        <f t="shared" si="0"/>
        <v>1.0306101521283648</v>
      </c>
    </row>
    <row r="4" spans="1:4" x14ac:dyDescent="0.25">
      <c r="A4">
        <v>0.02</v>
      </c>
      <c r="B4">
        <f t="shared" si="1"/>
        <v>1.0067569617235559</v>
      </c>
      <c r="C4">
        <f t="shared" si="0"/>
        <v>1.0204081632653061</v>
      </c>
      <c r="D4">
        <f t="shared" si="0"/>
        <v>1.0624824690392609</v>
      </c>
    </row>
    <row r="5" spans="1:4" x14ac:dyDescent="0.25">
      <c r="A5">
        <v>0.03</v>
      </c>
      <c r="B5">
        <f t="shared" si="1"/>
        <v>1.0102047864498132</v>
      </c>
      <c r="C5">
        <f t="shared" si="0"/>
        <v>1.0309278350515465</v>
      </c>
      <c r="D5">
        <f t="shared" si="0"/>
        <v>1.0956826815299678</v>
      </c>
    </row>
    <row r="6" spans="1:4" x14ac:dyDescent="0.25">
      <c r="A6">
        <v>0.04</v>
      </c>
      <c r="B6">
        <f t="shared" si="1"/>
        <v>1.0137003325955667</v>
      </c>
      <c r="C6">
        <f t="shared" si="0"/>
        <v>1.0416666666666667</v>
      </c>
      <c r="D6">
        <f t="shared" si="0"/>
        <v>1.1302806712962965</v>
      </c>
    </row>
    <row r="7" spans="1:4" x14ac:dyDescent="0.25">
      <c r="A7">
        <v>0.05</v>
      </c>
      <c r="B7">
        <f t="shared" si="1"/>
        <v>1.017244768191101</v>
      </c>
      <c r="C7">
        <f t="shared" si="0"/>
        <v>1.0526315789473684</v>
      </c>
      <c r="D7">
        <f t="shared" si="0"/>
        <v>1.1663507799970838</v>
      </c>
    </row>
    <row r="8" spans="1:4" x14ac:dyDescent="0.25">
      <c r="A8">
        <v>0.06</v>
      </c>
      <c r="B8">
        <f t="shared" si="1"/>
        <v>1.020839302540953</v>
      </c>
      <c r="C8">
        <f t="shared" si="0"/>
        <v>1.0638297872340425</v>
      </c>
      <c r="D8">
        <f t="shared" si="0"/>
        <v>1.2039721449004555</v>
      </c>
    </row>
    <row r="9" spans="1:4" x14ac:dyDescent="0.25">
      <c r="A9">
        <v>7.0000000000000007E-2</v>
      </c>
      <c r="B9">
        <f t="shared" si="1"/>
        <v>1.0244851881402803</v>
      </c>
      <c r="C9">
        <f t="shared" si="0"/>
        <v>1.0752688172043012</v>
      </c>
      <c r="D9">
        <f t="shared" si="0"/>
        <v>1.2432290637117605</v>
      </c>
    </row>
    <row r="10" spans="1:4" x14ac:dyDescent="0.25">
      <c r="A10">
        <v>0.08</v>
      </c>
      <c r="B10">
        <f t="shared" si="1"/>
        <v>1.0281837227019262</v>
      </c>
      <c r="C10">
        <f t="shared" si="0"/>
        <v>1.0869565217391304</v>
      </c>
      <c r="D10">
        <f t="shared" si="0"/>
        <v>1.2842113914687268</v>
      </c>
    </row>
    <row r="11" spans="1:4" x14ac:dyDescent="0.25">
      <c r="A11">
        <v>0.09</v>
      </c>
      <c r="B11">
        <f t="shared" si="1"/>
        <v>1.0319362513018593</v>
      </c>
      <c r="C11">
        <f t="shared" si="0"/>
        <v>1.0989010989010988</v>
      </c>
      <c r="D11">
        <f t="shared" si="0"/>
        <v>1.3270149727099367</v>
      </c>
    </row>
    <row r="12" spans="1:4" x14ac:dyDescent="0.25">
      <c r="A12">
        <v>0.1</v>
      </c>
      <c r="B12">
        <f t="shared" si="1"/>
        <v>1.0357441686512863</v>
      </c>
      <c r="C12">
        <f t="shared" si="0"/>
        <v>1.1111111111111112</v>
      </c>
      <c r="D12">
        <f t="shared" si="0"/>
        <v>1.3717421124828535</v>
      </c>
    </row>
    <row r="13" spans="1:4" x14ac:dyDescent="0.25">
      <c r="A13">
        <v>0.11</v>
      </c>
      <c r="B13">
        <f t="shared" si="1"/>
        <v>1.0396089215044175</v>
      </c>
      <c r="C13">
        <f t="shared" si="0"/>
        <v>1.1235955056179776</v>
      </c>
      <c r="D13">
        <f t="shared" si="0"/>
        <v>1.41850209016283</v>
      </c>
    </row>
    <row r="14" spans="1:4" x14ac:dyDescent="0.25">
      <c r="A14">
        <v>0.12</v>
      </c>
      <c r="B14">
        <f t="shared" si="1"/>
        <v>1.043532011211616</v>
      </c>
      <c r="C14">
        <f t="shared" si="0"/>
        <v>1.1363636363636365</v>
      </c>
      <c r="D14">
        <f t="shared" si="0"/>
        <v>1.4674117205108945</v>
      </c>
    </row>
    <row r="15" spans="1:4" x14ac:dyDescent="0.25">
      <c r="A15">
        <v>0.13</v>
      </c>
      <c r="B15">
        <f t="shared" si="1"/>
        <v>1.047514996428468</v>
      </c>
      <c r="C15">
        <f t="shared" si="0"/>
        <v>1.1494252873563218</v>
      </c>
      <c r="D15">
        <f t="shared" si="0"/>
        <v>1.5185959669128308</v>
      </c>
    </row>
    <row r="16" spans="1:4" x14ac:dyDescent="0.25">
      <c r="A16">
        <v>0.14000000000000001</v>
      </c>
      <c r="B16">
        <f t="shared" si="1"/>
        <v>1.0515594959922205</v>
      </c>
      <c r="C16">
        <f t="shared" si="0"/>
        <v>1.1627906976744187</v>
      </c>
      <c r="D16">
        <f t="shared" si="0"/>
        <v>1.5721886123234434</v>
      </c>
    </row>
    <row r="17" spans="1:4" x14ac:dyDescent="0.25">
      <c r="A17">
        <v>0.15</v>
      </c>
      <c r="B17">
        <f t="shared" si="1"/>
        <v>1.0556671919780007</v>
      </c>
      <c r="C17">
        <f t="shared" si="0"/>
        <v>1.1764705882352942</v>
      </c>
      <c r="D17">
        <f t="shared" si="0"/>
        <v>1.628332994097293</v>
      </c>
    </row>
    <row r="18" spans="1:4" x14ac:dyDescent="0.25">
      <c r="A18">
        <v>0.16</v>
      </c>
      <c r="B18">
        <f t="shared" si="1"/>
        <v>1.0598398329483265</v>
      </c>
      <c r="C18">
        <f t="shared" si="1"/>
        <v>1.1904761904761905</v>
      </c>
      <c r="D18">
        <f t="shared" si="1"/>
        <v>1.6871828096317891</v>
      </c>
    </row>
    <row r="19" spans="1:4" x14ac:dyDescent="0.25">
      <c r="A19">
        <v>0.17</v>
      </c>
      <c r="B19">
        <f t="shared" si="1"/>
        <v>1.0640792374105934</v>
      </c>
      <c r="C19">
        <f t="shared" si="1"/>
        <v>1.2048192771084338</v>
      </c>
      <c r="D19">
        <f t="shared" si="1"/>
        <v>1.7489030005928787</v>
      </c>
    </row>
    <row r="20" spans="1:4" x14ac:dyDescent="0.25">
      <c r="A20">
        <v>0.18</v>
      </c>
      <c r="B20">
        <f t="shared" si="1"/>
        <v>1.0683872974985422</v>
      </c>
      <c r="C20">
        <f t="shared" si="1"/>
        <v>1.2195121951219512</v>
      </c>
      <c r="D20">
        <f t="shared" si="1"/>
        <v>1.8136707244526342</v>
      </c>
    </row>
    <row r="21" spans="1:4" x14ac:dyDescent="0.25">
      <c r="A21">
        <v>0.19</v>
      </c>
      <c r="B21">
        <f t="shared" si="1"/>
        <v>1.0727659828951441</v>
      </c>
      <c r="C21">
        <f t="shared" si="1"/>
        <v>1.2345679012345678</v>
      </c>
      <c r="D21">
        <f t="shared" si="1"/>
        <v>1.8816764231589203</v>
      </c>
    </row>
    <row r="22" spans="1:4" x14ac:dyDescent="0.25">
      <c r="A22">
        <v>0.2</v>
      </c>
      <c r="B22">
        <f t="shared" si="1"/>
        <v>1.0772173450159419</v>
      </c>
      <c r="C22">
        <f t="shared" si="1"/>
        <v>1.25</v>
      </c>
      <c r="D22">
        <f t="shared" si="1"/>
        <v>1.953125</v>
      </c>
    </row>
    <row r="23" spans="1:4" x14ac:dyDescent="0.25">
      <c r="A23">
        <v>0.21</v>
      </c>
      <c r="B23">
        <f t="shared" si="1"/>
        <v>1.0817435214736382</v>
      </c>
      <c r="C23">
        <f t="shared" si="1"/>
        <v>1.2658227848101264</v>
      </c>
      <c r="D23">
        <f t="shared" si="1"/>
        <v>2.0282371171448905</v>
      </c>
    </row>
    <row r="24" spans="1:4" x14ac:dyDescent="0.25">
      <c r="A24">
        <v>0.22</v>
      </c>
      <c r="B24">
        <f t="shared" si="1"/>
        <v>1.086346740846674</v>
      </c>
      <c r="C24">
        <f t="shared" si="1"/>
        <v>1.2820512820512819</v>
      </c>
      <c r="D24">
        <f t="shared" si="1"/>
        <v>2.1072506279606866</v>
      </c>
    </row>
    <row r="25" spans="1:4" x14ac:dyDescent="0.25">
      <c r="A25">
        <v>0.23</v>
      </c>
      <c r="B25">
        <f t="shared" si="1"/>
        <v>1.0910293277766918</v>
      </c>
      <c r="C25">
        <f t="shared" si="1"/>
        <v>1.2987012987012987</v>
      </c>
      <c r="D25">
        <f t="shared" si="1"/>
        <v>2.190422160062909</v>
      </c>
    </row>
    <row r="26" spans="1:4" x14ac:dyDescent="0.25">
      <c r="A26">
        <v>0.24</v>
      </c>
      <c r="B26">
        <f t="shared" si="1"/>
        <v>1.0957937084221752</v>
      </c>
      <c r="C26">
        <f t="shared" si="1"/>
        <v>1.3157894736842106</v>
      </c>
      <c r="D26">
        <f t="shared" si="1"/>
        <v>2.2780288671818054</v>
      </c>
    </row>
    <row r="27" spans="1:4" x14ac:dyDescent="0.25">
      <c r="A27">
        <v>0.25</v>
      </c>
      <c r="B27">
        <f t="shared" si="1"/>
        <v>1.1006424162982089</v>
      </c>
      <c r="C27">
        <f t="shared" si="1"/>
        <v>1.3333333333333333</v>
      </c>
      <c r="D27">
        <f t="shared" si="1"/>
        <v>2.3703703703703702</v>
      </c>
    </row>
    <row r="28" spans="1:4" x14ac:dyDescent="0.25">
      <c r="A28">
        <v>0.26</v>
      </c>
      <c r="B28">
        <f t="shared" si="1"/>
        <v>1.105578098535263</v>
      </c>
      <c r="C28">
        <f t="shared" si="1"/>
        <v>1.3513513513513513</v>
      </c>
      <c r="D28">
        <f t="shared" si="1"/>
        <v>2.4677709118907072</v>
      </c>
    </row>
    <row r="29" spans="1:4" x14ac:dyDescent="0.25">
      <c r="A29">
        <v>0.27</v>
      </c>
      <c r="B29">
        <f t="shared" si="1"/>
        <v>1.1106035225931878</v>
      </c>
      <c r="C29">
        <f t="shared" si="1"/>
        <v>1.3698630136986301</v>
      </c>
      <c r="D29">
        <f t="shared" si="1"/>
        <v>2.5705817483554698</v>
      </c>
    </row>
    <row r="30" spans="1:4" x14ac:dyDescent="0.25">
      <c r="A30">
        <v>0.28000000000000003</v>
      </c>
      <c r="B30">
        <f t="shared" si="1"/>
        <v>1.1157215834702825</v>
      </c>
      <c r="C30">
        <f t="shared" si="1"/>
        <v>1.3888888888888888</v>
      </c>
      <c r="D30">
        <f t="shared" si="1"/>
        <v>2.6791838134430725</v>
      </c>
    </row>
    <row r="31" spans="1:4" x14ac:dyDescent="0.25">
      <c r="A31">
        <v>0.28999999999999998</v>
      </c>
      <c r="B31">
        <f t="shared" si="1"/>
        <v>1.1209353114513971</v>
      </c>
      <c r="C31">
        <f t="shared" si="1"/>
        <v>1.4084507042253522</v>
      </c>
      <c r="D31">
        <f t="shared" si="1"/>
        <v>2.7939906848350575</v>
      </c>
    </row>
    <row r="32" spans="1:4" x14ac:dyDescent="0.25">
      <c r="A32">
        <v>0.3</v>
      </c>
      <c r="B32">
        <f t="shared" si="1"/>
        <v>1.126247880443606</v>
      </c>
      <c r="C32">
        <f t="shared" si="1"/>
        <v>1.4285714285714286</v>
      </c>
      <c r="D32">
        <f t="shared" si="1"/>
        <v>2.915451895043732</v>
      </c>
    </row>
    <row r="33" spans="1:4" x14ac:dyDescent="0.25">
      <c r="A33">
        <v>0.31</v>
      </c>
      <c r="B33">
        <f t="shared" si="1"/>
        <v>1.1316626169531356</v>
      </c>
      <c r="C33">
        <f t="shared" si="1"/>
        <v>1.4492753623188408</v>
      </c>
      <c r="D33">
        <f t="shared" si="1"/>
        <v>3.0440566316295761</v>
      </c>
    </row>
    <row r="34" spans="1:4" x14ac:dyDescent="0.25">
      <c r="A34">
        <v>0.32</v>
      </c>
      <c r="B34">
        <f t="shared" si="1"/>
        <v>1.1371830097629767</v>
      </c>
      <c r="C34">
        <f t="shared" si="1"/>
        <v>1.4705882352941178</v>
      </c>
      <c r="D34">
        <f t="shared" si="1"/>
        <v>3.180337879096276</v>
      </c>
    </row>
    <row r="35" spans="1:4" x14ac:dyDescent="0.25">
      <c r="A35">
        <v>0.33</v>
      </c>
      <c r="B35">
        <f t="shared" ref="B35:D66" si="2">(1/(1-$A35))^(B$1/(1-B$1))</f>
        <v>1.1428127203771021</v>
      </c>
      <c r="C35">
        <f t="shared" si="2"/>
        <v>1.4925373134328359</v>
      </c>
      <c r="D35">
        <f t="shared" si="2"/>
        <v>3.3248770626706081</v>
      </c>
    </row>
    <row r="36" spans="1:4" x14ac:dyDescent="0.25">
      <c r="A36">
        <v>0.34</v>
      </c>
      <c r="B36">
        <f t="shared" si="2"/>
        <v>1.1485555943044825</v>
      </c>
      <c r="C36">
        <f t="shared" si="2"/>
        <v>1.5151515151515154</v>
      </c>
      <c r="D36">
        <f t="shared" si="2"/>
        <v>3.478309263433232</v>
      </c>
    </row>
    <row r="37" spans="1:4" x14ac:dyDescent="0.25">
      <c r="A37">
        <v>0.35</v>
      </c>
      <c r="B37">
        <f t="shared" si="2"/>
        <v>1.1544156732643194</v>
      </c>
      <c r="C37">
        <f t="shared" si="2"/>
        <v>1.5384615384615383</v>
      </c>
      <c r="D37">
        <f t="shared" si="2"/>
        <v>3.6413290851160665</v>
      </c>
    </row>
    <row r="38" spans="1:4" x14ac:dyDescent="0.25">
      <c r="A38">
        <v>0.36</v>
      </c>
      <c r="B38">
        <f t="shared" si="2"/>
        <v>1.1603972084031948</v>
      </c>
      <c r="C38">
        <f t="shared" si="2"/>
        <v>1.5625</v>
      </c>
      <c r="D38">
        <f t="shared" si="2"/>
        <v>3.814697265625</v>
      </c>
    </row>
    <row r="39" spans="1:4" x14ac:dyDescent="0.25">
      <c r="A39">
        <v>0.37</v>
      </c>
      <c r="B39">
        <f t="shared" si="2"/>
        <v>1.166504674625336</v>
      </c>
      <c r="C39">
        <f t="shared" si="2"/>
        <v>1.5873015873015872</v>
      </c>
      <c r="D39">
        <f t="shared" si="2"/>
        <v>3.9992481413494256</v>
      </c>
    </row>
    <row r="40" spans="1:4" x14ac:dyDescent="0.25">
      <c r="A40">
        <v>0.38</v>
      </c>
      <c r="B40">
        <f t="shared" si="2"/>
        <v>1.1727427861491087</v>
      </c>
      <c r="C40">
        <f t="shared" si="2"/>
        <v>1.6129032258064517</v>
      </c>
      <c r="D40">
        <f t="shared" si="2"/>
        <v>4.1958980900271907</v>
      </c>
    </row>
    <row r="41" spans="1:4" x14ac:dyDescent="0.25">
      <c r="A41">
        <v>0.39</v>
      </c>
      <c r="B41">
        <f t="shared" si="2"/>
        <v>1.1791165134163655</v>
      </c>
      <c r="C41">
        <f t="shared" si="2"/>
        <v>1.639344262295082</v>
      </c>
      <c r="D41">
        <f t="shared" si="2"/>
        <v>4.405655098884929</v>
      </c>
    </row>
    <row r="42" spans="1:4" x14ac:dyDescent="0.25">
      <c r="A42">
        <v>0.4</v>
      </c>
      <c r="B42">
        <f t="shared" si="2"/>
        <v>1.1856311014966876</v>
      </c>
      <c r="C42">
        <f t="shared" si="2"/>
        <v>1.6666666666666667</v>
      </c>
      <c r="D42">
        <f t="shared" si="2"/>
        <v>4.6296296296296306</v>
      </c>
    </row>
    <row r="43" spans="1:4" x14ac:dyDescent="0.25">
      <c r="A43">
        <v>0.41</v>
      </c>
      <c r="B43">
        <f t="shared" si="2"/>
        <v>1.1922920901460929</v>
      </c>
      <c r="C43">
        <f t="shared" si="2"/>
        <v>1.6949152542372878</v>
      </c>
      <c r="D43">
        <f t="shared" si="2"/>
        <v>4.8690469814343214</v>
      </c>
    </row>
    <row r="44" spans="1:4" x14ac:dyDescent="0.25">
      <c r="A44">
        <v>0.42</v>
      </c>
      <c r="B44">
        <f t="shared" si="2"/>
        <v>1.1991053356998698</v>
      </c>
      <c r="C44">
        <f t="shared" si="2"/>
        <v>1.7241379310344827</v>
      </c>
      <c r="D44">
        <f t="shared" si="2"/>
        <v>5.125261388330804</v>
      </c>
    </row>
    <row r="45" spans="1:4" x14ac:dyDescent="0.25">
      <c r="A45">
        <v>0.43</v>
      </c>
      <c r="B45">
        <f t="shared" si="2"/>
        <v>1.2060770350021577</v>
      </c>
      <c r="C45">
        <f t="shared" si="2"/>
        <v>1.7543859649122806</v>
      </c>
      <c r="D45">
        <f t="shared" si="2"/>
        <v>5.399772129616129</v>
      </c>
    </row>
    <row r="46" spans="1:4" x14ac:dyDescent="0.25">
      <c r="A46">
        <v>0.44</v>
      </c>
      <c r="B46">
        <f t="shared" si="2"/>
        <v>1.2132137516012933</v>
      </c>
      <c r="C46">
        <f t="shared" si="2"/>
        <v>1.7857142857142856</v>
      </c>
      <c r="D46">
        <f t="shared" si="2"/>
        <v>5.6942419825072879</v>
      </c>
    </row>
    <row r="47" spans="1:4" x14ac:dyDescent="0.25">
      <c r="A47">
        <v>0.45</v>
      </c>
      <c r="B47">
        <f t="shared" si="2"/>
        <v>1.2205224444702849</v>
      </c>
      <c r="C47">
        <f t="shared" si="2"/>
        <v>1.8181818181818181</v>
      </c>
      <c r="D47">
        <f t="shared" si="2"/>
        <v>6.0105184072126212</v>
      </c>
    </row>
    <row r="48" spans="1:4" x14ac:dyDescent="0.25">
      <c r="A48">
        <v>0.46</v>
      </c>
      <c r="B48">
        <f t="shared" si="2"/>
        <v>1.2280104995467955</v>
      </c>
      <c r="C48">
        <f t="shared" si="2"/>
        <v>1.8518518518518516</v>
      </c>
      <c r="D48">
        <f t="shared" si="2"/>
        <v>6.3506579281613558</v>
      </c>
    </row>
    <row r="49" spans="1:4" x14ac:dyDescent="0.25">
      <c r="A49">
        <v>0.47</v>
      </c>
      <c r="B49">
        <f t="shared" si="2"/>
        <v>1.2356857644274959</v>
      </c>
      <c r="C49">
        <f t="shared" si="2"/>
        <v>1.8867924528301885</v>
      </c>
      <c r="D49">
        <f t="shared" si="2"/>
        <v>6.7169542642584119</v>
      </c>
    </row>
    <row r="50" spans="1:4" x14ac:dyDescent="0.25">
      <c r="A50">
        <v>0.48</v>
      </c>
      <c r="B50">
        <f t="shared" si="2"/>
        <v>1.2435565865985811</v>
      </c>
      <c r="C50">
        <f t="shared" si="2"/>
        <v>1.9230769230769229</v>
      </c>
      <c r="D50">
        <f t="shared" si="2"/>
        <v>7.1119708693673171</v>
      </c>
    </row>
    <row r="51" spans="1:4" x14ac:dyDescent="0.25">
      <c r="A51">
        <v>0.49</v>
      </c>
      <c r="B51">
        <f t="shared" si="2"/>
        <v>1.2516318556387922</v>
      </c>
      <c r="C51">
        <f t="shared" si="2"/>
        <v>1.9607843137254901</v>
      </c>
      <c r="D51">
        <f t="shared" si="2"/>
        <v>7.5385786763763551</v>
      </c>
    </row>
    <row r="52" spans="1:4" x14ac:dyDescent="0.25">
      <c r="A52">
        <v>0.5</v>
      </c>
      <c r="B52">
        <f t="shared" si="2"/>
        <v>1.2599210498948732</v>
      </c>
      <c r="C52">
        <f t="shared" si="2"/>
        <v>2</v>
      </c>
      <c r="D52">
        <f t="shared" si="2"/>
        <v>8</v>
      </c>
    </row>
    <row r="53" spans="1:4" x14ac:dyDescent="0.25">
      <c r="A53">
        <v>0.51</v>
      </c>
      <c r="B53">
        <f t="shared" si="2"/>
        <v>1.2684342882037154</v>
      </c>
      <c r="C53">
        <f t="shared" si="2"/>
        <v>2.0408163265306123</v>
      </c>
      <c r="D53">
        <f t="shared" si="2"/>
        <v>8.4998597523140873</v>
      </c>
    </row>
    <row r="54" spans="1:4" x14ac:dyDescent="0.25">
      <c r="A54">
        <v>0.52</v>
      </c>
      <c r="B54">
        <f t="shared" si="2"/>
        <v>1.2771823873225885</v>
      </c>
      <c r="C54">
        <f t="shared" si="2"/>
        <v>2.0833333333333335</v>
      </c>
      <c r="D54">
        <f t="shared" si="2"/>
        <v>9.042245370370372</v>
      </c>
    </row>
    <row r="55" spans="1:4" x14ac:dyDescent="0.25">
      <c r="A55">
        <v>0.53</v>
      </c>
      <c r="B55">
        <f t="shared" si="2"/>
        <v>1.2861769258313476</v>
      </c>
      <c r="C55">
        <f t="shared" si="2"/>
        <v>2.1276595744680851</v>
      </c>
      <c r="D55">
        <f t="shared" si="2"/>
        <v>9.6317771592036436</v>
      </c>
    </row>
    <row r="56" spans="1:4" x14ac:dyDescent="0.25">
      <c r="A56">
        <v>0.54</v>
      </c>
      <c r="B56">
        <f t="shared" si="2"/>
        <v>1.2954303153914299</v>
      </c>
      <c r="C56">
        <f t="shared" si="2"/>
        <v>2.1739130434782612</v>
      </c>
      <c r="D56">
        <f t="shared" si="2"/>
        <v>10.273691131749819</v>
      </c>
    </row>
    <row r="57" spans="1:4" x14ac:dyDescent="0.25">
      <c r="A57">
        <v>0.55000000000000004</v>
      </c>
      <c r="B57">
        <f t="shared" si="2"/>
        <v>1.3049558803896211</v>
      </c>
      <c r="C57">
        <f t="shared" si="2"/>
        <v>2.2222222222222223</v>
      </c>
      <c r="D57">
        <f t="shared" si="2"/>
        <v>10.973936899862828</v>
      </c>
    </row>
    <row r="58" spans="1:4" x14ac:dyDescent="0.25">
      <c r="A58">
        <v>0.56000000000000005</v>
      </c>
      <c r="B58">
        <f t="shared" si="2"/>
        <v>1.3147679471646476</v>
      </c>
      <c r="C58">
        <f t="shared" si="2"/>
        <v>2.2727272727272729</v>
      </c>
      <c r="D58">
        <f t="shared" si="2"/>
        <v>11.739293764087156</v>
      </c>
    </row>
    <row r="59" spans="1:4" x14ac:dyDescent="0.25">
      <c r="A59">
        <v>0.56999999999999995</v>
      </c>
      <c r="B59">
        <f t="shared" si="2"/>
        <v>1.324881944217442</v>
      </c>
      <c r="C59">
        <f t="shared" si="2"/>
        <v>2.3255813953488369</v>
      </c>
      <c r="D59">
        <f t="shared" si="2"/>
        <v>12.57750889858754</v>
      </c>
    </row>
    <row r="60" spans="1:4" x14ac:dyDescent="0.25">
      <c r="A60">
        <v>0.57999999999999996</v>
      </c>
      <c r="B60">
        <f t="shared" si="2"/>
        <v>1.3353145150486625</v>
      </c>
      <c r="C60">
        <f t="shared" si="2"/>
        <v>2.3809523809523809</v>
      </c>
      <c r="D60">
        <f t="shared" si="2"/>
        <v>13.497462477054313</v>
      </c>
    </row>
    <row r="61" spans="1:4" x14ac:dyDescent="0.25">
      <c r="A61">
        <v>0.59</v>
      </c>
      <c r="B61">
        <f t="shared" si="2"/>
        <v>1.3460836455587095</v>
      </c>
      <c r="C61">
        <f t="shared" si="2"/>
        <v>2.4390243902439024</v>
      </c>
      <c r="D61">
        <f t="shared" si="2"/>
        <v>14.509365795621074</v>
      </c>
    </row>
    <row r="62" spans="1:4" x14ac:dyDescent="0.25">
      <c r="A62">
        <v>0.6</v>
      </c>
      <c r="B62">
        <f t="shared" si="2"/>
        <v>1.3572088082974534</v>
      </c>
      <c r="C62">
        <f t="shared" si="2"/>
        <v>2.5</v>
      </c>
      <c r="D62">
        <f t="shared" si="2"/>
        <v>15.625</v>
      </c>
    </row>
    <row r="63" spans="1:4" x14ac:dyDescent="0.25">
      <c r="A63">
        <v>0.61</v>
      </c>
      <c r="B63">
        <f t="shared" si="2"/>
        <v>1.3687111262774152</v>
      </c>
      <c r="C63">
        <f t="shared" si="2"/>
        <v>2.5641025641025639</v>
      </c>
      <c r="D63">
        <f t="shared" si="2"/>
        <v>16.858005023685493</v>
      </c>
    </row>
    <row r="64" spans="1:4" x14ac:dyDescent="0.25">
      <c r="A64">
        <v>0.62</v>
      </c>
      <c r="B64">
        <f t="shared" si="2"/>
        <v>1.3806135595834632</v>
      </c>
      <c r="C64">
        <f t="shared" si="2"/>
        <v>2.6315789473684212</v>
      </c>
      <c r="D64">
        <f t="shared" si="2"/>
        <v>18.224230937454443</v>
      </c>
    </row>
    <row r="65" spans="1:4" x14ac:dyDescent="0.25">
      <c r="A65">
        <v>0.63</v>
      </c>
      <c r="B65">
        <f t="shared" si="2"/>
        <v>1.3929411186473262</v>
      </c>
      <c r="C65">
        <f t="shared" si="2"/>
        <v>2.7027027027027026</v>
      </c>
      <c r="D65">
        <f t="shared" si="2"/>
        <v>19.742167295125657</v>
      </c>
    </row>
    <row r="66" spans="1:4" x14ac:dyDescent="0.25">
      <c r="A66">
        <v>0.64</v>
      </c>
      <c r="B66">
        <f t="shared" si="2"/>
        <v>1.4057211088362487</v>
      </c>
      <c r="C66">
        <f t="shared" si="2"/>
        <v>2.7777777777777777</v>
      </c>
      <c r="D66">
        <f t="shared" si="2"/>
        <v>21.43347050754458</v>
      </c>
    </row>
    <row r="67" spans="1:4" x14ac:dyDescent="0.25">
      <c r="A67">
        <v>0.65</v>
      </c>
      <c r="B67">
        <f t="shared" ref="B67:D101" si="3">(1/(1-$A67))^(B$1/(1-B$1))</f>
        <v>1.4189834119703837</v>
      </c>
      <c r="C67">
        <f t="shared" si="3"/>
        <v>2.8571428571428572</v>
      </c>
      <c r="D67">
        <f t="shared" si="3"/>
        <v>23.323615160349856</v>
      </c>
    </row>
    <row r="68" spans="1:4" x14ac:dyDescent="0.25">
      <c r="A68">
        <v>0.66</v>
      </c>
      <c r="B68">
        <f t="shared" si="3"/>
        <v>1.4327608115831811</v>
      </c>
      <c r="C68">
        <f t="shared" si="3"/>
        <v>2.9411764705882355</v>
      </c>
      <c r="D68">
        <f t="shared" si="3"/>
        <v>25.442703032770208</v>
      </c>
    </row>
    <row r="69" spans="1:4" x14ac:dyDescent="0.25">
      <c r="A69">
        <v>0.67</v>
      </c>
      <c r="B69">
        <f t="shared" si="3"/>
        <v>1.4470893702387337</v>
      </c>
      <c r="C69">
        <f t="shared" si="3"/>
        <v>3.0303030303030307</v>
      </c>
      <c r="D69">
        <f t="shared" si="3"/>
        <v>27.826474107465856</v>
      </c>
    </row>
    <row r="70" spans="1:4" x14ac:dyDescent="0.25">
      <c r="A70">
        <v>0.68</v>
      </c>
      <c r="B70">
        <f t="shared" si="3"/>
        <v>1.462008869106433</v>
      </c>
      <c r="C70">
        <f t="shared" si="3"/>
        <v>3.1250000000000004</v>
      </c>
      <c r="D70">
        <f t="shared" si="3"/>
        <v>30.517578125000014</v>
      </c>
    </row>
    <row r="71" spans="1:4" x14ac:dyDescent="0.25">
      <c r="A71">
        <v>0.69</v>
      </c>
      <c r="B71">
        <f t="shared" si="3"/>
        <v>1.4775633223816234</v>
      </c>
      <c r="C71">
        <f t="shared" si="3"/>
        <v>3.2258064516129026</v>
      </c>
      <c r="D71">
        <f t="shared" si="3"/>
        <v>33.567184720217497</v>
      </c>
    </row>
    <row r="72" spans="1:4" x14ac:dyDescent="0.25">
      <c r="A72">
        <v>0.7</v>
      </c>
      <c r="B72">
        <f t="shared" si="3"/>
        <v>1.4938015821857216</v>
      </c>
      <c r="C72">
        <f t="shared" si="3"/>
        <v>3.333333333333333</v>
      </c>
      <c r="D72">
        <f t="shared" si="3"/>
        <v>37.037037037037024</v>
      </c>
    </row>
    <row r="73" spans="1:4" x14ac:dyDescent="0.25">
      <c r="A73">
        <v>0.71</v>
      </c>
      <c r="B73">
        <f t="shared" si="3"/>
        <v>1.5107780534895243</v>
      </c>
      <c r="C73">
        <f t="shared" si="3"/>
        <v>3.4482758620689653</v>
      </c>
      <c r="D73">
        <f t="shared" si="3"/>
        <v>41.002091106646432</v>
      </c>
    </row>
    <row r="74" spans="1:4" x14ac:dyDescent="0.25">
      <c r="A74">
        <v>0.72</v>
      </c>
      <c r="B74">
        <f t="shared" si="3"/>
        <v>1.5285535436643991</v>
      </c>
      <c r="C74">
        <f t="shared" si="3"/>
        <v>3.5714285714285712</v>
      </c>
      <c r="D74">
        <f t="shared" si="3"/>
        <v>45.553935860058303</v>
      </c>
    </row>
    <row r="75" spans="1:4" x14ac:dyDescent="0.25">
      <c r="A75">
        <v>0.73</v>
      </c>
      <c r="B75">
        <f t="shared" si="3"/>
        <v>1.5471962778709263</v>
      </c>
      <c r="C75">
        <f t="shared" si="3"/>
        <v>3.7037037037037033</v>
      </c>
      <c r="D75">
        <f t="shared" si="3"/>
        <v>50.805263425290846</v>
      </c>
    </row>
    <row r="76" spans="1:4" x14ac:dyDescent="0.25">
      <c r="A76">
        <v>0.74</v>
      </c>
      <c r="B76">
        <f t="shared" si="3"/>
        <v>1.566783120190969</v>
      </c>
      <c r="C76">
        <f t="shared" si="3"/>
        <v>3.8461538461538458</v>
      </c>
      <c r="D76">
        <f t="shared" si="3"/>
        <v>56.895766954938537</v>
      </c>
    </row>
    <row r="77" spans="1:4" x14ac:dyDescent="0.25">
      <c r="A77">
        <v>0.75</v>
      </c>
      <c r="B77">
        <f t="shared" si="3"/>
        <v>1.5874010519681994</v>
      </c>
      <c r="C77">
        <f t="shared" si="3"/>
        <v>4</v>
      </c>
      <c r="D77">
        <f t="shared" si="3"/>
        <v>64</v>
      </c>
    </row>
    <row r="78" spans="1:4" x14ac:dyDescent="0.25">
      <c r="A78">
        <v>0.76</v>
      </c>
      <c r="B78">
        <f t="shared" si="3"/>
        <v>1.6091489743427163</v>
      </c>
      <c r="C78">
        <f t="shared" si="3"/>
        <v>4.166666666666667</v>
      </c>
      <c r="D78">
        <f t="shared" si="3"/>
        <v>72.337962962962976</v>
      </c>
    </row>
    <row r="79" spans="1:4" x14ac:dyDescent="0.25">
      <c r="A79">
        <v>0.77</v>
      </c>
      <c r="B79">
        <f t="shared" si="3"/>
        <v>1.6321399230336171</v>
      </c>
      <c r="C79">
        <f t="shared" si="3"/>
        <v>4.3478260869565224</v>
      </c>
      <c r="D79">
        <f t="shared" si="3"/>
        <v>82.189529053998555</v>
      </c>
    </row>
    <row r="80" spans="1:4" x14ac:dyDescent="0.25">
      <c r="A80">
        <v>0.78</v>
      </c>
      <c r="B80">
        <f t="shared" si="3"/>
        <v>1.6565038123598099</v>
      </c>
      <c r="C80">
        <f t="shared" si="3"/>
        <v>4.5454545454545459</v>
      </c>
      <c r="D80">
        <f t="shared" si="3"/>
        <v>93.91435011269725</v>
      </c>
    </row>
    <row r="81" spans="1:4" x14ac:dyDescent="0.25">
      <c r="A81">
        <v>0.79</v>
      </c>
      <c r="B81">
        <f t="shared" si="3"/>
        <v>1.6823908657399742</v>
      </c>
      <c r="C81">
        <f t="shared" si="3"/>
        <v>4.7619047619047628</v>
      </c>
      <c r="D81">
        <f t="shared" si="3"/>
        <v>107.97969981643458</v>
      </c>
    </row>
    <row r="82" spans="1:4" x14ac:dyDescent="0.25">
      <c r="A82">
        <v>0.8</v>
      </c>
      <c r="B82">
        <f t="shared" si="3"/>
        <v>1.7099759466766971</v>
      </c>
      <c r="C82">
        <f t="shared" si="3"/>
        <v>5.0000000000000009</v>
      </c>
      <c r="D82">
        <f t="shared" si="3"/>
        <v>125.00000000000006</v>
      </c>
    </row>
    <row r="83" spans="1:4" x14ac:dyDescent="0.25">
      <c r="A83">
        <v>0.81</v>
      </c>
      <c r="B83">
        <f t="shared" si="3"/>
        <v>1.7394640854894952</v>
      </c>
      <c r="C83">
        <f t="shared" si="3"/>
        <v>5.2631578947368434</v>
      </c>
      <c r="D83">
        <f t="shared" si="3"/>
        <v>145.7938474996356</v>
      </c>
    </row>
    <row r="84" spans="1:4" x14ac:dyDescent="0.25">
      <c r="A84">
        <v>0.82</v>
      </c>
      <c r="B84">
        <f t="shared" si="3"/>
        <v>1.7710976153043516</v>
      </c>
      <c r="C84">
        <f t="shared" si="3"/>
        <v>5.5555555555555545</v>
      </c>
      <c r="D84">
        <f t="shared" si="3"/>
        <v>171.46776406035656</v>
      </c>
    </row>
    <row r="85" spans="1:4" x14ac:dyDescent="0.25">
      <c r="A85">
        <v>0.83</v>
      </c>
      <c r="B85">
        <f t="shared" si="3"/>
        <v>1.805165505978112</v>
      </c>
      <c r="C85">
        <f t="shared" si="3"/>
        <v>5.8823529411764692</v>
      </c>
      <c r="D85">
        <f t="shared" si="3"/>
        <v>203.54162426216149</v>
      </c>
    </row>
    <row r="86" spans="1:4" x14ac:dyDescent="0.25">
      <c r="A86">
        <v>0.84</v>
      </c>
      <c r="B86">
        <f t="shared" si="3"/>
        <v>1.8420157493201932</v>
      </c>
      <c r="C86">
        <f t="shared" si="3"/>
        <v>6.2499999999999991</v>
      </c>
      <c r="D86">
        <f t="shared" si="3"/>
        <v>244.14062499999989</v>
      </c>
    </row>
    <row r="87" spans="1:4" x14ac:dyDescent="0.25">
      <c r="A87">
        <v>0.85</v>
      </c>
      <c r="B87">
        <f t="shared" si="3"/>
        <v>1.8820720577620569</v>
      </c>
      <c r="C87">
        <f t="shared" si="3"/>
        <v>6.6666666666666661</v>
      </c>
      <c r="D87">
        <f t="shared" si="3"/>
        <v>296.29629629629619</v>
      </c>
    </row>
    <row r="88" spans="1:4" x14ac:dyDescent="0.25">
      <c r="A88">
        <v>0.86</v>
      </c>
      <c r="B88">
        <f t="shared" si="3"/>
        <v>1.9258567855541788</v>
      </c>
      <c r="C88">
        <f t="shared" si="3"/>
        <v>7.1428571428571423</v>
      </c>
      <c r="D88">
        <f t="shared" si="3"/>
        <v>364.43148688046642</v>
      </c>
    </row>
    <row r="89" spans="1:4" x14ac:dyDescent="0.25">
      <c r="A89">
        <v>0.87</v>
      </c>
      <c r="B89">
        <f t="shared" si="3"/>
        <v>1.9740230337485711</v>
      </c>
      <c r="C89">
        <f t="shared" si="3"/>
        <v>7.6923076923076916</v>
      </c>
      <c r="D89">
        <f t="shared" si="3"/>
        <v>455.1661356395083</v>
      </c>
    </row>
    <row r="90" spans="1:4" x14ac:dyDescent="0.25">
      <c r="A90">
        <v>0.88</v>
      </c>
      <c r="B90">
        <f t="shared" si="3"/>
        <v>2.0274006651911334</v>
      </c>
      <c r="C90">
        <f t="shared" si="3"/>
        <v>8.3333333333333339</v>
      </c>
      <c r="D90">
        <f t="shared" si="3"/>
        <v>578.70370370370381</v>
      </c>
    </row>
    <row r="91" spans="1:4" x14ac:dyDescent="0.25">
      <c r="A91">
        <v>0.89</v>
      </c>
      <c r="B91">
        <f t="shared" si="3"/>
        <v>2.087064022423232</v>
      </c>
      <c r="C91">
        <f t="shared" si="3"/>
        <v>9.0909090909090917</v>
      </c>
      <c r="D91">
        <f t="shared" si="3"/>
        <v>751.314800901578</v>
      </c>
    </row>
    <row r="92" spans="1:4" x14ac:dyDescent="0.25">
      <c r="A92">
        <v>0.9</v>
      </c>
      <c r="B92">
        <f t="shared" si="3"/>
        <v>2.1544346900318838</v>
      </c>
      <c r="C92">
        <f t="shared" si="3"/>
        <v>10.000000000000002</v>
      </c>
      <c r="D92">
        <f t="shared" si="3"/>
        <v>1000.0000000000005</v>
      </c>
    </row>
    <row r="93" spans="1:4" x14ac:dyDescent="0.25">
      <c r="A93">
        <v>0.91</v>
      </c>
      <c r="B93">
        <f t="shared" si="3"/>
        <v>2.231443166940565</v>
      </c>
      <c r="C93">
        <f t="shared" si="3"/>
        <v>11.111111111111114</v>
      </c>
      <c r="D93">
        <f t="shared" si="3"/>
        <v>1371.7421124828543</v>
      </c>
    </row>
    <row r="94" spans="1:4" x14ac:dyDescent="0.25">
      <c r="A94">
        <v>0.92</v>
      </c>
      <c r="B94">
        <f t="shared" si="3"/>
        <v>2.3207944168063896</v>
      </c>
      <c r="C94">
        <f t="shared" si="3"/>
        <v>12.500000000000007</v>
      </c>
      <c r="D94">
        <f t="shared" si="3"/>
        <v>1953.1250000000032</v>
      </c>
    </row>
    <row r="95" spans="1:4" x14ac:dyDescent="0.25">
      <c r="A95">
        <v>0.93</v>
      </c>
      <c r="B95">
        <f t="shared" si="3"/>
        <v>2.426427503202587</v>
      </c>
      <c r="C95">
        <f t="shared" si="3"/>
        <v>14.285714285714295</v>
      </c>
      <c r="D95">
        <f t="shared" si="3"/>
        <v>2915.4518950437377</v>
      </c>
    </row>
    <row r="96" spans="1:4" x14ac:dyDescent="0.25">
      <c r="A96">
        <v>0.94</v>
      </c>
      <c r="B96">
        <f t="shared" si="3"/>
        <v>2.5543647746451761</v>
      </c>
      <c r="C96">
        <f t="shared" si="3"/>
        <v>16.66666666666665</v>
      </c>
      <c r="D96">
        <f t="shared" si="3"/>
        <v>4629.629629629615</v>
      </c>
    </row>
    <row r="97" spans="1:4" x14ac:dyDescent="0.25">
      <c r="A97">
        <v>0.95</v>
      </c>
      <c r="B97">
        <f t="shared" si="3"/>
        <v>2.7144176165949054</v>
      </c>
      <c r="C97">
        <f t="shared" si="3"/>
        <v>19.999999999999982</v>
      </c>
      <c r="D97">
        <f t="shared" si="3"/>
        <v>7999.9999999999791</v>
      </c>
    </row>
    <row r="98" spans="1:4" x14ac:dyDescent="0.25">
      <c r="A98">
        <v>0.96</v>
      </c>
      <c r="B98">
        <f t="shared" si="3"/>
        <v>2.9240177382128647</v>
      </c>
      <c r="C98">
        <f t="shared" si="3"/>
        <v>24.999999999999979</v>
      </c>
      <c r="D98">
        <f t="shared" si="3"/>
        <v>15624.999999999962</v>
      </c>
    </row>
    <row r="99" spans="1:4" x14ac:dyDescent="0.25">
      <c r="A99">
        <v>0.97</v>
      </c>
      <c r="B99">
        <f t="shared" si="3"/>
        <v>3.2182979486854313</v>
      </c>
      <c r="C99">
        <f t="shared" si="3"/>
        <v>33.3333333333333</v>
      </c>
      <c r="D99">
        <f t="shared" si="3"/>
        <v>37037.03703703692</v>
      </c>
    </row>
    <row r="100" spans="1:4" x14ac:dyDescent="0.25">
      <c r="A100">
        <v>0.98</v>
      </c>
      <c r="B100">
        <f t="shared" si="3"/>
        <v>3.684031498640385</v>
      </c>
      <c r="C100">
        <f t="shared" si="3"/>
        <v>49.999999999999957</v>
      </c>
      <c r="D100">
        <f t="shared" si="3"/>
        <v>124999.99999999969</v>
      </c>
    </row>
    <row r="101" spans="1:4" x14ac:dyDescent="0.25">
      <c r="A101">
        <v>0.99</v>
      </c>
      <c r="B101">
        <f t="shared" si="3"/>
        <v>4.6415888336127775</v>
      </c>
      <c r="C101">
        <f t="shared" si="3"/>
        <v>99.999999999999915</v>
      </c>
      <c r="D101">
        <f t="shared" si="3"/>
        <v>999999.99999999756</v>
      </c>
    </row>
    <row r="102" spans="1:4" x14ac:dyDescent="0.25">
      <c r="A102">
        <v>1</v>
      </c>
      <c r="B102">
        <f>10^6</f>
        <v>1000000</v>
      </c>
      <c r="C102">
        <f>10^6</f>
        <v>1000000</v>
      </c>
      <c r="D102">
        <f>10^10</f>
        <v>10000000000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04DD-44C3-4E39-9E8B-C1F675F90865}">
  <dimension ref="A1:U60"/>
  <sheetViews>
    <sheetView topLeftCell="A15" workbookViewId="0">
      <selection activeCell="H41" sqref="H41"/>
    </sheetView>
  </sheetViews>
  <sheetFormatPr defaultRowHeight="15" x14ac:dyDescent="0.25"/>
  <sheetData>
    <row r="1" spans="1:21" x14ac:dyDescent="0.25">
      <c r="A1" t="s">
        <v>25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S1" t="s">
        <v>89</v>
      </c>
      <c r="T1" t="s">
        <v>90</v>
      </c>
      <c r="U1" t="s">
        <v>91</v>
      </c>
    </row>
    <row r="2" spans="1:21" x14ac:dyDescent="0.25">
      <c r="A2">
        <v>1850</v>
      </c>
      <c r="B2">
        <v>57.819235324859619</v>
      </c>
      <c r="C2">
        <v>1.8606938421726227</v>
      </c>
      <c r="D2">
        <v>6.6366635262966156</v>
      </c>
      <c r="E2">
        <v>6.6211484372615814</v>
      </c>
      <c r="F2">
        <v>7.6195657253265381</v>
      </c>
      <c r="G2">
        <v>3.7025265395641327</v>
      </c>
      <c r="H2">
        <v>1.2874718231614679E-2</v>
      </c>
      <c r="I2">
        <v>8.7151936895679682E-3</v>
      </c>
      <c r="J2">
        <v>0.120670220348984</v>
      </c>
      <c r="K2">
        <v>8.2089640200138092</v>
      </c>
      <c r="L2">
        <v>0.19047979731112719</v>
      </c>
      <c r="M2">
        <v>3.075890988111496</v>
      </c>
      <c r="N2">
        <v>0.55462522432208061</v>
      </c>
      <c r="O2">
        <v>8.6249603191390634E-2</v>
      </c>
      <c r="P2">
        <v>2.890142984688282</v>
      </c>
      <c r="Q2">
        <v>0.59155477210879326</v>
      </c>
      <c r="S2">
        <v>14.24071416258812</v>
      </c>
      <c r="T2">
        <v>8.3296342403627932</v>
      </c>
      <c r="U2">
        <v>3.0806227819994092</v>
      </c>
    </row>
    <row r="3" spans="1:21" x14ac:dyDescent="0.25">
      <c r="A3">
        <v>1860</v>
      </c>
      <c r="B3">
        <v>46.236312389373779</v>
      </c>
      <c r="C3">
        <v>1.330214086920023</v>
      </c>
      <c r="D3">
        <v>6.0578044503927231</v>
      </c>
      <c r="E3">
        <v>5.5885538458824158</v>
      </c>
      <c r="F3">
        <v>6.8715214729309082</v>
      </c>
      <c r="G3">
        <v>3.5700798034667969</v>
      </c>
      <c r="H3">
        <v>2.4539860896766186E-2</v>
      </c>
      <c r="I3">
        <v>2.4821929400786757E-2</v>
      </c>
      <c r="J3">
        <v>0.22421223111450672</v>
      </c>
      <c r="K3">
        <v>9.1080650687217712</v>
      </c>
      <c r="L3">
        <v>0.27807143051177263</v>
      </c>
      <c r="M3">
        <v>2.5524120777845383</v>
      </c>
      <c r="N3">
        <v>13.383015990257263</v>
      </c>
      <c r="O3">
        <v>0.10706024477258325</v>
      </c>
      <c r="P3">
        <v>4.031604528427124</v>
      </c>
      <c r="Q3">
        <v>0.61171012930572033</v>
      </c>
      <c r="S3">
        <v>12.460075318813324</v>
      </c>
      <c r="T3">
        <v>9.332277299836278</v>
      </c>
      <c r="U3">
        <v>4.3096759589388967</v>
      </c>
    </row>
    <row r="4" spans="1:21" x14ac:dyDescent="0.25">
      <c r="A4">
        <v>1870</v>
      </c>
      <c r="B4">
        <v>52.39112377166748</v>
      </c>
      <c r="C4">
        <v>1.5368103981018066</v>
      </c>
      <c r="D4">
        <v>5.4915633052587509</v>
      </c>
      <c r="E4">
        <v>5.6007653474807739</v>
      </c>
      <c r="F4">
        <v>6.2792673707008362</v>
      </c>
      <c r="G4">
        <v>4.4387795031070709</v>
      </c>
      <c r="H4">
        <v>7.6498748967424035E-2</v>
      </c>
      <c r="I4">
        <v>3.935467975679785E-2</v>
      </c>
      <c r="J4">
        <v>0.42736525647342205</v>
      </c>
      <c r="K4">
        <v>7.3406219482421875</v>
      </c>
      <c r="L4">
        <v>0.4270549863576889</v>
      </c>
      <c r="M4">
        <v>1.7843212932348251</v>
      </c>
      <c r="N4">
        <v>10.134658962488174</v>
      </c>
      <c r="O4">
        <v>0.11670665116980672</v>
      </c>
      <c r="P4">
        <v>3.1301464885473251</v>
      </c>
      <c r="Q4">
        <v>0.78496057540178299</v>
      </c>
      <c r="S4">
        <v>11.88003271818161</v>
      </c>
      <c r="T4">
        <v>7.7679872047156096</v>
      </c>
      <c r="U4">
        <v>3.557201474905014</v>
      </c>
    </row>
    <row r="5" spans="1:21" x14ac:dyDescent="0.25">
      <c r="A5">
        <v>1880</v>
      </c>
      <c r="B5">
        <v>47.245791554450989</v>
      </c>
      <c r="C5">
        <v>1.7979327589273453</v>
      </c>
      <c r="D5">
        <v>4.6275295317173004</v>
      </c>
      <c r="E5">
        <v>6.1227142810821533</v>
      </c>
      <c r="F5">
        <v>7.3320783674716949</v>
      </c>
      <c r="G5">
        <v>4.5682802796363831</v>
      </c>
      <c r="H5">
        <v>0.1630279584787786</v>
      </c>
      <c r="I5">
        <v>6.129500106908381E-2</v>
      </c>
      <c r="J5">
        <v>0.70726922713220119</v>
      </c>
      <c r="K5">
        <v>8.4871970117092133</v>
      </c>
      <c r="L5">
        <v>0.48382403329014778</v>
      </c>
      <c r="M5">
        <v>1.7126139253377914</v>
      </c>
      <c r="N5">
        <v>11.800098419189453</v>
      </c>
      <c r="O5">
        <v>0.16969897551462054</v>
      </c>
      <c r="P5">
        <v>3.8222342729568481</v>
      </c>
      <c r="Q5">
        <v>0.89841270819306374</v>
      </c>
      <c r="S5">
        <v>13.454792648553848</v>
      </c>
      <c r="T5">
        <v>9.1944662388414145</v>
      </c>
      <c r="U5">
        <v>4.3060583062469959</v>
      </c>
    </row>
    <row r="6" spans="1:21" x14ac:dyDescent="0.25">
      <c r="A6">
        <v>1900</v>
      </c>
      <c r="B6">
        <v>45.154058933258057</v>
      </c>
      <c r="C6">
        <v>2.3422442376613617</v>
      </c>
      <c r="D6">
        <v>5.1770292222499847</v>
      </c>
      <c r="E6">
        <v>5.9448372572660446</v>
      </c>
      <c r="F6">
        <v>6.7088022828102112</v>
      </c>
      <c r="G6">
        <v>5.8382533490657806</v>
      </c>
      <c r="H6">
        <v>0.32795374281704426</v>
      </c>
      <c r="I6">
        <v>6.5359199652448297E-2</v>
      </c>
      <c r="J6">
        <v>0.74593108147382736</v>
      </c>
      <c r="K6">
        <v>9.2042252421379089</v>
      </c>
      <c r="L6">
        <v>1.3925276696681976</v>
      </c>
      <c r="M6">
        <v>2.1757736802101135</v>
      </c>
      <c r="N6">
        <v>9.8624572157859802</v>
      </c>
      <c r="O6">
        <v>0.26226502377539873</v>
      </c>
      <c r="P6">
        <v>3.9905402809381485</v>
      </c>
      <c r="Q6">
        <v>0.80773690715432167</v>
      </c>
      <c r="S6">
        <v>12.653639540076256</v>
      </c>
      <c r="T6">
        <v>9.9501563236117363</v>
      </c>
      <c r="U6">
        <v>5.3830679506063461</v>
      </c>
    </row>
    <row r="7" spans="1:21" x14ac:dyDescent="0.25">
      <c r="A7">
        <v>1910</v>
      </c>
      <c r="B7">
        <v>36.750513315200806</v>
      </c>
      <c r="C7">
        <v>3.0998397618532181</v>
      </c>
      <c r="D7">
        <v>5.9141885489225388</v>
      </c>
      <c r="E7">
        <v>8.0444321036338806</v>
      </c>
      <c r="F7">
        <v>7.9105034470558167</v>
      </c>
      <c r="G7">
        <v>6.6540814936161041</v>
      </c>
      <c r="H7">
        <v>0.59560942463576794</v>
      </c>
      <c r="I7">
        <v>0.40072640404105186</v>
      </c>
      <c r="J7">
        <v>0.93331532552838326</v>
      </c>
      <c r="K7">
        <v>9.6236884593963623</v>
      </c>
      <c r="L7">
        <v>1.500418595969677</v>
      </c>
      <c r="M7">
        <v>1.2927308678627014</v>
      </c>
      <c r="N7">
        <v>11.47225946187973</v>
      </c>
      <c r="O7">
        <v>0.33035678789019585</v>
      </c>
      <c r="P7">
        <v>4.2532637715339661</v>
      </c>
      <c r="Q7">
        <v>1.2240718118846416</v>
      </c>
      <c r="S7">
        <v>15.954935550689697</v>
      </c>
      <c r="T7">
        <v>10.557003784924746</v>
      </c>
      <c r="U7">
        <v>5.753682367503643</v>
      </c>
    </row>
    <row r="8" spans="1:21" x14ac:dyDescent="0.25">
      <c r="A8">
        <v>1920</v>
      </c>
      <c r="B8">
        <v>32.173064351081848</v>
      </c>
      <c r="C8">
        <v>3.2925017178058624</v>
      </c>
      <c r="D8">
        <v>5.1806323230266571</v>
      </c>
      <c r="E8">
        <v>9.8316080868244171</v>
      </c>
      <c r="F8">
        <v>9.7547240555286407</v>
      </c>
      <c r="G8">
        <v>7.5634211301803589</v>
      </c>
      <c r="H8">
        <v>1.0371803306043148</v>
      </c>
      <c r="I8">
        <v>0.40269680321216583</v>
      </c>
      <c r="J8">
        <v>1.3802834786474705</v>
      </c>
      <c r="K8">
        <v>9.443972259759903</v>
      </c>
      <c r="L8">
        <v>2.0439600571990013</v>
      </c>
      <c r="M8">
        <v>2.2894890978932381</v>
      </c>
      <c r="N8">
        <v>8.3103075623512268</v>
      </c>
      <c r="O8">
        <v>0.39357887580990791</v>
      </c>
      <c r="P8">
        <v>4.8322077840566635</v>
      </c>
      <c r="Q8">
        <v>2.0703712478280067</v>
      </c>
      <c r="S8">
        <v>19.586332142353058</v>
      </c>
      <c r="T8">
        <v>10.824255738407373</v>
      </c>
      <c r="U8">
        <v>6.8761678412556648</v>
      </c>
    </row>
    <row r="9" spans="1:21" x14ac:dyDescent="0.25">
      <c r="A9">
        <v>1930</v>
      </c>
      <c r="B9">
        <v>26.041856408119202</v>
      </c>
      <c r="C9">
        <v>2.6690635830163956</v>
      </c>
      <c r="D9">
        <v>6.6922903060913086</v>
      </c>
      <c r="E9">
        <v>9.0909384191036224</v>
      </c>
      <c r="F9">
        <v>9.4584345817565918</v>
      </c>
      <c r="G9">
        <v>6.0283765196800232</v>
      </c>
      <c r="H9">
        <v>1.1499687097966671</v>
      </c>
      <c r="I9">
        <v>0.86242742836475372</v>
      </c>
      <c r="J9">
        <v>1.4092238619923592</v>
      </c>
      <c r="K9">
        <v>11.901605129241943</v>
      </c>
      <c r="L9">
        <v>3.4756287932395935</v>
      </c>
      <c r="M9">
        <v>2.8083931654691696</v>
      </c>
      <c r="N9">
        <v>9.4482079148292542</v>
      </c>
      <c r="O9">
        <v>0.68218023516237736</v>
      </c>
      <c r="P9">
        <v>6.1411336064338684</v>
      </c>
      <c r="Q9">
        <v>2.1402699872851372</v>
      </c>
      <c r="S9">
        <v>18.549373000860214</v>
      </c>
      <c r="T9">
        <v>13.310828991234303</v>
      </c>
      <c r="U9">
        <v>9.6167623996734619</v>
      </c>
    </row>
    <row r="10" spans="1:21" x14ac:dyDescent="0.25">
      <c r="A10">
        <v>1940</v>
      </c>
      <c r="B10">
        <v>18.229062855243683</v>
      </c>
      <c r="C10">
        <v>1.9697362557053566</v>
      </c>
      <c r="D10">
        <v>9.4518892467021942</v>
      </c>
      <c r="E10">
        <v>11.001147329807281</v>
      </c>
      <c r="F10">
        <v>11.810895800590515</v>
      </c>
      <c r="G10">
        <v>4.4665057212114334</v>
      </c>
      <c r="H10">
        <v>0.65637798979878426</v>
      </c>
      <c r="I10">
        <v>1.2303708121180534</v>
      </c>
      <c r="J10">
        <v>2.9304603114724159</v>
      </c>
      <c r="K10">
        <v>13.369114696979523</v>
      </c>
      <c r="L10">
        <v>3.120991587638855</v>
      </c>
      <c r="M10">
        <v>1.64052564650774</v>
      </c>
      <c r="N10">
        <v>8.3095602691173553</v>
      </c>
      <c r="O10">
        <v>0.97337039187550545</v>
      </c>
      <c r="P10">
        <v>7.1212083101272583</v>
      </c>
      <c r="Q10">
        <v>3.7187863141298294</v>
      </c>
      <c r="S10">
        <v>22.812043130397797</v>
      </c>
      <c r="T10">
        <v>16.299575008451939</v>
      </c>
      <c r="U10">
        <v>10.242199897766113</v>
      </c>
    </row>
    <row r="11" spans="1:21" x14ac:dyDescent="0.25">
      <c r="A11">
        <v>1950</v>
      </c>
      <c r="B11">
        <v>12.103493511676788</v>
      </c>
      <c r="C11">
        <v>1.6683559864759445</v>
      </c>
      <c r="D11">
        <v>6.3431844115257263</v>
      </c>
      <c r="E11">
        <v>13.89591246843338</v>
      </c>
      <c r="F11">
        <v>12.203006446361542</v>
      </c>
      <c r="G11">
        <v>5.2343495190143585</v>
      </c>
      <c r="H11">
        <v>1.0940729640424252</v>
      </c>
      <c r="I11">
        <v>1.3794760219752789</v>
      </c>
      <c r="J11">
        <v>3.5603180527687073</v>
      </c>
      <c r="K11">
        <v>15.295414626598358</v>
      </c>
      <c r="L11">
        <v>3.2965157181024551</v>
      </c>
      <c r="M11">
        <v>2.5370582938194275</v>
      </c>
      <c r="N11">
        <v>6.2259558588266373</v>
      </c>
      <c r="O11">
        <v>1.0016065090894699</v>
      </c>
      <c r="P11">
        <v>8.1281282007694244</v>
      </c>
      <c r="Q11">
        <v>6.0331474989652634</v>
      </c>
      <c r="S11">
        <v>26.098918914794922</v>
      </c>
      <c r="T11">
        <v>18.855732679367065</v>
      </c>
      <c r="U11">
        <v>11.42464391887188</v>
      </c>
    </row>
    <row r="12" spans="1:21" x14ac:dyDescent="0.25">
      <c r="A12">
        <v>1960</v>
      </c>
      <c r="B12">
        <v>6.7470505833625793</v>
      </c>
      <c r="C12">
        <v>1.0702317580580711</v>
      </c>
      <c r="D12">
        <v>6.4334221184253693</v>
      </c>
      <c r="E12">
        <v>15.754368901252747</v>
      </c>
      <c r="F12">
        <v>11.940539628267288</v>
      </c>
      <c r="G12">
        <v>4.3109007179737091</v>
      </c>
      <c r="H12">
        <v>1.1166774667799473</v>
      </c>
      <c r="I12">
        <v>1.3662181794643402</v>
      </c>
      <c r="J12">
        <v>3.4507248550653458</v>
      </c>
      <c r="K12">
        <v>15.042921900749207</v>
      </c>
      <c r="L12">
        <v>4.1136864572763443</v>
      </c>
      <c r="M12">
        <v>2.7486983686685562</v>
      </c>
      <c r="N12">
        <v>6.0875993221998215</v>
      </c>
      <c r="O12">
        <v>0.97899055108428001</v>
      </c>
      <c r="P12">
        <v>11.306651681661606</v>
      </c>
      <c r="Q12">
        <v>7.5313173234462738</v>
      </c>
      <c r="S12">
        <v>27.694908529520035</v>
      </c>
      <c r="T12">
        <v>18.493646755814552</v>
      </c>
      <c r="U12">
        <v>15.42033813893795</v>
      </c>
    </row>
    <row r="13" spans="1:21" x14ac:dyDescent="0.25">
      <c r="A13">
        <v>1970</v>
      </c>
      <c r="B13">
        <v>3.6652974784374237</v>
      </c>
      <c r="C13">
        <v>0.7925461046397686</v>
      </c>
      <c r="D13">
        <v>5.9898030012845993</v>
      </c>
      <c r="E13">
        <v>15.243518352508545</v>
      </c>
      <c r="F13">
        <v>10.13019010424614</v>
      </c>
      <c r="G13">
        <v>3.9484277367591858</v>
      </c>
      <c r="H13">
        <v>1.1714734137058258</v>
      </c>
      <c r="I13">
        <v>1.2146854773163795</v>
      </c>
      <c r="J13">
        <v>3.9192140102386475</v>
      </c>
      <c r="K13">
        <v>15.816961228847504</v>
      </c>
      <c r="L13">
        <v>4.7563109546899796</v>
      </c>
      <c r="M13">
        <v>3.4205708652734756</v>
      </c>
      <c r="N13">
        <v>4.6918582171201706</v>
      </c>
      <c r="O13">
        <v>1.0550442151725292</v>
      </c>
      <c r="P13">
        <v>16.520586609840393</v>
      </c>
      <c r="Q13">
        <v>7.6635107398033142</v>
      </c>
      <c r="S13">
        <v>25.373708456754684</v>
      </c>
      <c r="T13">
        <v>19.736175239086151</v>
      </c>
      <c r="U13">
        <v>21.276897564530373</v>
      </c>
    </row>
    <row r="14" spans="1:21" x14ac:dyDescent="0.25">
      <c r="A14">
        <v>1980</v>
      </c>
      <c r="B14">
        <v>2.9561722651124001</v>
      </c>
      <c r="C14">
        <v>1.0341251268982887</v>
      </c>
      <c r="D14">
        <v>6.2934592366218567</v>
      </c>
      <c r="E14">
        <v>13.973744213581085</v>
      </c>
      <c r="F14">
        <v>8.386143296957016</v>
      </c>
      <c r="G14">
        <v>3.590518981218338</v>
      </c>
      <c r="H14">
        <v>1.1815852485597134</v>
      </c>
      <c r="I14">
        <v>1.3367202132940292</v>
      </c>
      <c r="J14">
        <v>4.0643796324729919</v>
      </c>
      <c r="K14">
        <v>16.143004596233368</v>
      </c>
      <c r="L14">
        <v>5.7794339954853058</v>
      </c>
      <c r="M14">
        <v>4.5313462615013123</v>
      </c>
      <c r="N14">
        <v>3.1288277357816696</v>
      </c>
      <c r="O14">
        <v>1.2636471539735794</v>
      </c>
      <c r="P14">
        <v>18.990395963191986</v>
      </c>
      <c r="Q14">
        <v>7.3464952409267426</v>
      </c>
      <c r="S14">
        <v>22.359887510538101</v>
      </c>
      <c r="T14">
        <v>20.20738422870636</v>
      </c>
      <c r="U14">
        <v>24.769829958677292</v>
      </c>
    </row>
    <row r="15" spans="1:21" x14ac:dyDescent="0.25">
      <c r="A15">
        <v>1990</v>
      </c>
      <c r="B15">
        <v>2.709398977458477</v>
      </c>
      <c r="C15">
        <v>0.62341289594769478</v>
      </c>
      <c r="D15">
        <v>6.4949169754981995</v>
      </c>
      <c r="E15">
        <v>10.356214642524719</v>
      </c>
      <c r="F15">
        <v>7.1662090718746185</v>
      </c>
      <c r="G15">
        <v>3.6138772964477539</v>
      </c>
      <c r="H15">
        <v>1.0066951625049114</v>
      </c>
      <c r="I15">
        <v>1.2361481785774231</v>
      </c>
      <c r="J15">
        <v>4.1844803839921951</v>
      </c>
      <c r="K15">
        <v>17.052461206912994</v>
      </c>
      <c r="L15">
        <v>6.6453568637371063</v>
      </c>
      <c r="M15">
        <v>6.38594850897789</v>
      </c>
      <c r="N15">
        <v>3.1807463616132736</v>
      </c>
      <c r="O15">
        <v>1.782798208296299</v>
      </c>
      <c r="P15">
        <v>20.878003537654877</v>
      </c>
      <c r="Q15">
        <v>6.6833280026912689</v>
      </c>
      <c r="S15">
        <v>17.522423714399338</v>
      </c>
      <c r="T15">
        <v>21.23694159090519</v>
      </c>
      <c r="U15">
        <v>27.523360401391983</v>
      </c>
    </row>
    <row r="16" spans="1:21" x14ac:dyDescent="0.25">
      <c r="A16">
        <v>2000</v>
      </c>
      <c r="B16">
        <v>2.2298421710729599</v>
      </c>
      <c r="C16">
        <v>0.38227732293307781</v>
      </c>
      <c r="D16">
        <v>6.8821869790554047</v>
      </c>
      <c r="E16">
        <v>9.0753950178623199</v>
      </c>
      <c r="F16">
        <v>5.5321387946605682</v>
      </c>
      <c r="G16">
        <v>3.7760745733976364</v>
      </c>
      <c r="H16">
        <v>1.0092579759657383</v>
      </c>
      <c r="I16">
        <v>1.1465713381767273</v>
      </c>
      <c r="J16">
        <v>3.4737590700387955</v>
      </c>
      <c r="K16">
        <v>17.260131239891052</v>
      </c>
      <c r="L16">
        <v>6.4793244004249573</v>
      </c>
      <c r="M16">
        <v>8.1543847918510437</v>
      </c>
      <c r="N16">
        <v>2.8271254152059555</v>
      </c>
      <c r="O16">
        <v>2.0292710512876511</v>
      </c>
      <c r="P16">
        <v>23.601913452148438</v>
      </c>
      <c r="Q16">
        <v>6.1403464525938034</v>
      </c>
      <c r="S16">
        <v>14.607533812522888</v>
      </c>
      <c r="T16">
        <v>20.733890309929848</v>
      </c>
      <c r="U16">
        <v>30.081237852573395</v>
      </c>
    </row>
    <row r="17" spans="1:21" x14ac:dyDescent="0.25">
      <c r="A17">
        <v>2010</v>
      </c>
      <c r="B17">
        <v>2.4275433272123337</v>
      </c>
      <c r="C17">
        <v>0.4947370383888483</v>
      </c>
      <c r="D17">
        <v>7.142060250043869</v>
      </c>
      <c r="E17">
        <v>6.7522153258323669</v>
      </c>
      <c r="F17">
        <v>4.1181407868862152</v>
      </c>
      <c r="G17">
        <v>3.6563612520694733</v>
      </c>
      <c r="H17">
        <v>0.75859185308218002</v>
      </c>
      <c r="I17">
        <v>0.85738012567162514</v>
      </c>
      <c r="J17">
        <v>2.7643453329801559</v>
      </c>
      <c r="K17">
        <v>18.230018019676208</v>
      </c>
      <c r="L17">
        <v>6.3345029950141907</v>
      </c>
      <c r="M17">
        <v>8.2804232835769653</v>
      </c>
      <c r="N17">
        <v>3.1340442597866058</v>
      </c>
      <c r="O17">
        <v>2.1403493359684944</v>
      </c>
      <c r="P17">
        <v>26.847359538078308</v>
      </c>
      <c r="Q17">
        <v>6.0619253665208817</v>
      </c>
      <c r="S17">
        <v>10.870356112718582</v>
      </c>
      <c r="T17">
        <v>20.994363352656364</v>
      </c>
      <c r="U17">
        <v>33.181862533092499</v>
      </c>
    </row>
    <row r="18" spans="1:21" x14ac:dyDescent="0.25">
      <c r="A18">
        <v>2018</v>
      </c>
      <c r="B18">
        <v>2.356322854757309</v>
      </c>
      <c r="C18">
        <v>0.48930537886917591</v>
      </c>
      <c r="D18">
        <v>7.0103690028190613</v>
      </c>
      <c r="E18">
        <v>6.3596576452255249</v>
      </c>
      <c r="F18">
        <v>3.7530321627855301</v>
      </c>
      <c r="G18">
        <v>4.4213514775037766</v>
      </c>
      <c r="H18">
        <v>0.64241145737469196</v>
      </c>
      <c r="I18">
        <v>0.8133426308631897</v>
      </c>
      <c r="J18">
        <v>2.4153711274266243</v>
      </c>
      <c r="K18">
        <v>17.90844053030014</v>
      </c>
      <c r="L18">
        <v>6.3340753316879272</v>
      </c>
      <c r="M18">
        <v>9.274851530790329</v>
      </c>
      <c r="N18">
        <v>3.0843567103147507</v>
      </c>
      <c r="O18">
        <v>2.1704070270061493</v>
      </c>
      <c r="P18">
        <v>27.42430567741394</v>
      </c>
      <c r="Q18">
        <v>5.5423945188522339</v>
      </c>
      <c r="S18">
        <v>10.112689808011055</v>
      </c>
      <c r="T18">
        <v>20.323811657726765</v>
      </c>
      <c r="U18">
        <v>33.758381009101868</v>
      </c>
    </row>
    <row r="43" spans="1:21" x14ac:dyDescent="0.25">
      <c r="A43" t="s">
        <v>25</v>
      </c>
    </row>
    <row r="44" spans="1:21" x14ac:dyDescent="0.25">
      <c r="A44">
        <v>1850</v>
      </c>
      <c r="B44">
        <v>57.819235324859619</v>
      </c>
      <c r="C44">
        <v>1.8606938421726227</v>
      </c>
      <c r="D44">
        <v>6.6366635262966156</v>
      </c>
      <c r="E44">
        <v>6.6211484372615814</v>
      </c>
      <c r="F44">
        <v>7.6195657253265381</v>
      </c>
      <c r="G44">
        <v>3.7025265395641327</v>
      </c>
      <c r="H44">
        <v>1.2874718231614679E-2</v>
      </c>
      <c r="I44">
        <v>8.7151936895679682E-3</v>
      </c>
      <c r="J44">
        <v>0.120670220348984</v>
      </c>
      <c r="K44">
        <v>8.2089640200138092</v>
      </c>
      <c r="L44">
        <v>0.19047979731112719</v>
      </c>
      <c r="M44">
        <v>3.075890988111496</v>
      </c>
      <c r="N44">
        <v>0.55462522432208061</v>
      </c>
      <c r="O44">
        <v>8.6249603191390634E-2</v>
      </c>
      <c r="P44">
        <v>2.890142984688282</v>
      </c>
      <c r="Q44">
        <v>0.59155477210879326</v>
      </c>
      <c r="S44">
        <v>14.24071416258812</v>
      </c>
      <c r="T44">
        <v>8.3296342403627932</v>
      </c>
      <c r="U44">
        <v>3.0806227819994092</v>
      </c>
    </row>
    <row r="45" spans="1:21" x14ac:dyDescent="0.25">
      <c r="A45">
        <v>1860</v>
      </c>
      <c r="B45">
        <v>46.236312389373779</v>
      </c>
      <c r="C45">
        <v>1.330214086920023</v>
      </c>
      <c r="D45">
        <v>6.0578044503927231</v>
      </c>
      <c r="E45">
        <v>5.5885538458824158</v>
      </c>
      <c r="F45">
        <v>6.8715214729309082</v>
      </c>
      <c r="G45">
        <v>3.5700798034667969</v>
      </c>
      <c r="H45">
        <v>2.4539860896766186E-2</v>
      </c>
      <c r="I45">
        <v>2.4821929400786757E-2</v>
      </c>
      <c r="J45">
        <v>0.22421223111450672</v>
      </c>
      <c r="K45">
        <v>9.1080650687217712</v>
      </c>
      <c r="L45">
        <v>0.27807143051177263</v>
      </c>
      <c r="M45">
        <v>2.5524120777845383</v>
      </c>
      <c r="N45">
        <v>13.383015990257263</v>
      </c>
      <c r="O45">
        <v>0.10706024477258325</v>
      </c>
      <c r="P45">
        <v>4.031604528427124</v>
      </c>
      <c r="Q45">
        <v>0.61171012930572033</v>
      </c>
      <c r="S45">
        <v>12.460075318813324</v>
      </c>
      <c r="T45">
        <v>9.332277299836278</v>
      </c>
      <c r="U45">
        <v>4.3096759589388967</v>
      </c>
    </row>
    <row r="46" spans="1:21" x14ac:dyDescent="0.25">
      <c r="A46">
        <v>1870</v>
      </c>
      <c r="B46">
        <v>52.39112377166748</v>
      </c>
      <c r="C46">
        <v>1.5368103981018066</v>
      </c>
      <c r="D46">
        <v>5.4915633052587509</v>
      </c>
      <c r="E46">
        <v>5.6007653474807739</v>
      </c>
      <c r="F46">
        <v>6.2792673707008362</v>
      </c>
      <c r="G46">
        <v>4.4387795031070709</v>
      </c>
      <c r="H46">
        <v>7.6498748967424035E-2</v>
      </c>
      <c r="I46">
        <v>3.935467975679785E-2</v>
      </c>
      <c r="J46">
        <v>0.42736525647342205</v>
      </c>
      <c r="K46">
        <v>7.3406219482421875</v>
      </c>
      <c r="L46">
        <v>0.4270549863576889</v>
      </c>
      <c r="M46">
        <v>1.7843212932348251</v>
      </c>
      <c r="N46">
        <v>10.134658962488174</v>
      </c>
      <c r="O46">
        <v>0.11670665116980672</v>
      </c>
      <c r="P46">
        <v>3.1301464885473251</v>
      </c>
      <c r="Q46">
        <v>0.78496057540178299</v>
      </c>
      <c r="S46">
        <v>11.88003271818161</v>
      </c>
      <c r="T46">
        <v>7.7679872047156096</v>
      </c>
      <c r="U46">
        <v>3.557201474905014</v>
      </c>
    </row>
    <row r="47" spans="1:21" x14ac:dyDescent="0.25">
      <c r="A47">
        <v>1880</v>
      </c>
      <c r="B47">
        <v>47.245791554450989</v>
      </c>
      <c r="C47">
        <v>1.7979327589273453</v>
      </c>
      <c r="D47">
        <v>4.6275295317173004</v>
      </c>
      <c r="E47">
        <v>6.1227142810821533</v>
      </c>
      <c r="F47">
        <v>7.3320783674716949</v>
      </c>
      <c r="G47">
        <v>4.5682802796363831</v>
      </c>
      <c r="H47">
        <v>0.1630279584787786</v>
      </c>
      <c r="I47">
        <v>6.129500106908381E-2</v>
      </c>
      <c r="J47">
        <v>0.70726922713220119</v>
      </c>
      <c r="K47">
        <v>8.4871970117092133</v>
      </c>
      <c r="L47">
        <v>0.48382403329014778</v>
      </c>
      <c r="M47">
        <v>1.7126139253377914</v>
      </c>
      <c r="N47">
        <v>11.800098419189453</v>
      </c>
      <c r="O47">
        <v>0.16969897551462054</v>
      </c>
      <c r="P47">
        <v>3.8222342729568481</v>
      </c>
      <c r="Q47">
        <v>0.89841270819306374</v>
      </c>
      <c r="S47">
        <v>13.454792648553848</v>
      </c>
      <c r="T47">
        <v>9.1944662388414145</v>
      </c>
      <c r="U47">
        <v>4.3060583062469959</v>
      </c>
    </row>
    <row r="48" spans="1:21" x14ac:dyDescent="0.25">
      <c r="A48">
        <v>1900</v>
      </c>
      <c r="B48">
        <v>45.154058933258057</v>
      </c>
      <c r="C48">
        <v>2.3422442376613617</v>
      </c>
      <c r="D48">
        <v>5.1770292222499847</v>
      </c>
      <c r="E48">
        <v>5.9448372572660446</v>
      </c>
      <c r="F48">
        <v>6.7088022828102112</v>
      </c>
      <c r="G48">
        <v>5.8382533490657806</v>
      </c>
      <c r="H48">
        <v>0.32795374281704426</v>
      </c>
      <c r="I48">
        <v>6.5359199652448297E-2</v>
      </c>
      <c r="J48">
        <v>0.74593108147382736</v>
      </c>
      <c r="K48">
        <v>9.2042252421379089</v>
      </c>
      <c r="L48">
        <v>1.3925276696681976</v>
      </c>
      <c r="M48">
        <v>2.1757736802101135</v>
      </c>
      <c r="N48">
        <v>9.8624572157859802</v>
      </c>
      <c r="O48">
        <v>0.26226502377539873</v>
      </c>
      <c r="P48">
        <v>3.9905402809381485</v>
      </c>
      <c r="Q48">
        <v>0.80773690715432167</v>
      </c>
      <c r="S48">
        <v>12.653639540076256</v>
      </c>
      <c r="T48">
        <v>9.9501563236117363</v>
      </c>
      <c r="U48">
        <v>5.3830679506063461</v>
      </c>
    </row>
    <row r="49" spans="1:21" x14ac:dyDescent="0.25">
      <c r="A49">
        <v>1910</v>
      </c>
      <c r="B49">
        <v>36.750513315200806</v>
      </c>
      <c r="C49">
        <v>3.0998397618532181</v>
      </c>
      <c r="D49">
        <v>5.9141885489225388</v>
      </c>
      <c r="E49">
        <v>8.0444321036338806</v>
      </c>
      <c r="F49">
        <v>7.9105034470558167</v>
      </c>
      <c r="G49">
        <v>6.6540814936161041</v>
      </c>
      <c r="H49">
        <v>0.59560942463576794</v>
      </c>
      <c r="I49">
        <v>0.40072640404105186</v>
      </c>
      <c r="J49">
        <v>0.93331532552838326</v>
      </c>
      <c r="K49">
        <v>9.6236884593963623</v>
      </c>
      <c r="L49">
        <v>1.500418595969677</v>
      </c>
      <c r="M49">
        <v>1.2927308678627014</v>
      </c>
      <c r="N49">
        <v>11.47225946187973</v>
      </c>
      <c r="O49">
        <v>0.33035678789019585</v>
      </c>
      <c r="P49">
        <v>4.2532637715339661</v>
      </c>
      <c r="Q49">
        <v>1.2240718118846416</v>
      </c>
      <c r="S49">
        <v>15.954935550689697</v>
      </c>
      <c r="T49">
        <v>10.557003784924746</v>
      </c>
      <c r="U49">
        <v>5.753682367503643</v>
      </c>
    </row>
    <row r="50" spans="1:21" x14ac:dyDescent="0.25">
      <c r="A50">
        <v>1920</v>
      </c>
      <c r="B50">
        <v>32.173064351081848</v>
      </c>
      <c r="C50">
        <v>3.2925017178058624</v>
      </c>
      <c r="D50">
        <v>5.1806323230266571</v>
      </c>
      <c r="E50">
        <v>9.8316080868244171</v>
      </c>
      <c r="F50">
        <v>9.7547240555286407</v>
      </c>
      <c r="G50">
        <v>7.5634211301803589</v>
      </c>
      <c r="H50">
        <v>1.0371803306043148</v>
      </c>
      <c r="I50">
        <v>0.40269680321216583</v>
      </c>
      <c r="J50">
        <v>1.3802834786474705</v>
      </c>
      <c r="K50">
        <v>9.443972259759903</v>
      </c>
      <c r="L50">
        <v>2.0439600571990013</v>
      </c>
      <c r="M50">
        <v>2.2894890978932381</v>
      </c>
      <c r="N50">
        <v>8.3103075623512268</v>
      </c>
      <c r="O50">
        <v>0.39357887580990791</v>
      </c>
      <c r="P50">
        <v>4.8322077840566635</v>
      </c>
      <c r="Q50">
        <v>2.0703712478280067</v>
      </c>
      <c r="S50">
        <v>19.586332142353058</v>
      </c>
      <c r="T50">
        <v>10.824255738407373</v>
      </c>
      <c r="U50">
        <v>6.8761678412556648</v>
      </c>
    </row>
    <row r="51" spans="1:21" x14ac:dyDescent="0.25">
      <c r="A51">
        <v>1930</v>
      </c>
      <c r="B51">
        <v>26.041856408119202</v>
      </c>
      <c r="C51">
        <v>2.6690635830163956</v>
      </c>
      <c r="D51">
        <v>6.6922903060913086</v>
      </c>
      <c r="E51">
        <v>9.0909384191036224</v>
      </c>
      <c r="F51">
        <v>9.4584345817565918</v>
      </c>
      <c r="G51">
        <v>6.0283765196800232</v>
      </c>
      <c r="H51">
        <v>1.1499687097966671</v>
      </c>
      <c r="I51">
        <v>0.86242742836475372</v>
      </c>
      <c r="J51">
        <v>1.4092238619923592</v>
      </c>
      <c r="K51">
        <v>11.901605129241943</v>
      </c>
      <c r="L51">
        <v>3.4756287932395935</v>
      </c>
      <c r="M51">
        <v>2.8083931654691696</v>
      </c>
      <c r="N51">
        <v>9.4482079148292542</v>
      </c>
      <c r="O51">
        <v>0.68218023516237736</v>
      </c>
      <c r="P51">
        <v>6.1411336064338684</v>
      </c>
      <c r="Q51">
        <v>2.1402699872851372</v>
      </c>
      <c r="S51">
        <v>18.549373000860214</v>
      </c>
      <c r="T51">
        <v>13.310828991234303</v>
      </c>
      <c r="U51">
        <v>9.6167623996734619</v>
      </c>
    </row>
    <row r="52" spans="1:21" x14ac:dyDescent="0.25">
      <c r="A52">
        <v>1940</v>
      </c>
      <c r="B52">
        <v>18.229062855243683</v>
      </c>
      <c r="C52">
        <v>1.9697362557053566</v>
      </c>
      <c r="D52">
        <v>9.4518892467021942</v>
      </c>
      <c r="E52">
        <v>11.001147329807281</v>
      </c>
      <c r="F52">
        <v>11.810895800590515</v>
      </c>
      <c r="G52">
        <v>4.4665057212114334</v>
      </c>
      <c r="H52">
        <v>0.65637798979878426</v>
      </c>
      <c r="I52">
        <v>1.2303708121180534</v>
      </c>
      <c r="J52">
        <v>2.9304603114724159</v>
      </c>
      <c r="K52">
        <v>13.369114696979523</v>
      </c>
      <c r="L52">
        <v>3.120991587638855</v>
      </c>
      <c r="M52">
        <v>1.64052564650774</v>
      </c>
      <c r="N52">
        <v>8.3095602691173553</v>
      </c>
      <c r="O52">
        <v>0.97337039187550545</v>
      </c>
      <c r="P52">
        <v>7.1212083101272583</v>
      </c>
      <c r="Q52">
        <v>3.7187863141298294</v>
      </c>
      <c r="S52">
        <v>22.812043130397797</v>
      </c>
      <c r="T52">
        <v>16.299575008451939</v>
      </c>
      <c r="U52">
        <v>10.242199897766113</v>
      </c>
    </row>
    <row r="53" spans="1:21" x14ac:dyDescent="0.25">
      <c r="A53">
        <v>1950</v>
      </c>
      <c r="B53">
        <v>12.103493511676788</v>
      </c>
      <c r="C53">
        <v>1.6683559864759445</v>
      </c>
      <c r="D53">
        <v>6.3431844115257263</v>
      </c>
      <c r="E53">
        <v>13.89591246843338</v>
      </c>
      <c r="F53">
        <v>12.203006446361542</v>
      </c>
      <c r="G53">
        <v>5.2343495190143585</v>
      </c>
      <c r="H53">
        <v>1.0940729640424252</v>
      </c>
      <c r="I53">
        <v>1.3794760219752789</v>
      </c>
      <c r="J53">
        <v>3.5603180527687073</v>
      </c>
      <c r="K53">
        <v>15.295414626598358</v>
      </c>
      <c r="L53">
        <v>3.2965157181024551</v>
      </c>
      <c r="M53">
        <v>2.5370582938194275</v>
      </c>
      <c r="N53">
        <v>6.2259558588266373</v>
      </c>
      <c r="O53">
        <v>1.0016065090894699</v>
      </c>
      <c r="P53">
        <v>8.1281282007694244</v>
      </c>
      <c r="Q53">
        <v>6.0331474989652634</v>
      </c>
      <c r="S53">
        <v>26.098918914794922</v>
      </c>
      <c r="T53">
        <v>18.855732679367065</v>
      </c>
      <c r="U53">
        <v>11.42464391887188</v>
      </c>
    </row>
    <row r="54" spans="1:21" x14ac:dyDescent="0.25">
      <c r="A54">
        <v>1960</v>
      </c>
      <c r="B54">
        <v>6.7470505833625793</v>
      </c>
      <c r="C54">
        <v>1.0702317580580711</v>
      </c>
      <c r="D54">
        <v>6.4334221184253693</v>
      </c>
      <c r="E54">
        <v>15.754368901252747</v>
      </c>
      <c r="F54">
        <v>11.940539628267288</v>
      </c>
      <c r="G54">
        <v>4.3109007179737091</v>
      </c>
      <c r="H54">
        <v>1.1166774667799473</v>
      </c>
      <c r="I54">
        <v>1.3662181794643402</v>
      </c>
      <c r="J54">
        <v>3.4507248550653458</v>
      </c>
      <c r="K54">
        <v>15.042921900749207</v>
      </c>
      <c r="L54">
        <v>4.1136864572763443</v>
      </c>
      <c r="M54">
        <v>2.7486983686685562</v>
      </c>
      <c r="N54">
        <v>6.0875993221998215</v>
      </c>
      <c r="O54">
        <v>0.97899055108428001</v>
      </c>
      <c r="P54">
        <v>11.306651681661606</v>
      </c>
      <c r="Q54">
        <v>7.5313173234462738</v>
      </c>
      <c r="S54">
        <v>27.694908529520035</v>
      </c>
      <c r="T54">
        <v>18.493646755814552</v>
      </c>
      <c r="U54">
        <v>15.42033813893795</v>
      </c>
    </row>
    <row r="55" spans="1:21" x14ac:dyDescent="0.25">
      <c r="A55">
        <v>1970</v>
      </c>
      <c r="B55">
        <v>3.6652974784374237</v>
      </c>
      <c r="C55">
        <v>0.7925461046397686</v>
      </c>
      <c r="D55">
        <v>5.9898030012845993</v>
      </c>
      <c r="E55">
        <v>15.243518352508545</v>
      </c>
      <c r="F55">
        <v>10.13019010424614</v>
      </c>
      <c r="G55">
        <v>3.9484277367591858</v>
      </c>
      <c r="H55">
        <v>1.1714734137058258</v>
      </c>
      <c r="I55">
        <v>1.2146854773163795</v>
      </c>
      <c r="J55">
        <v>3.9192140102386475</v>
      </c>
      <c r="K55">
        <v>15.816961228847504</v>
      </c>
      <c r="L55">
        <v>4.7563109546899796</v>
      </c>
      <c r="M55">
        <v>3.4205708652734756</v>
      </c>
      <c r="N55">
        <v>4.6918582171201706</v>
      </c>
      <c r="O55">
        <v>1.0550442151725292</v>
      </c>
      <c r="P55">
        <v>16.520586609840393</v>
      </c>
      <c r="Q55">
        <v>7.6635107398033142</v>
      </c>
      <c r="S55">
        <v>25.373708456754684</v>
      </c>
      <c r="T55">
        <v>19.736175239086151</v>
      </c>
      <c r="U55">
        <v>21.276897564530373</v>
      </c>
    </row>
    <row r="56" spans="1:21" x14ac:dyDescent="0.25">
      <c r="A56">
        <v>1980</v>
      </c>
      <c r="B56">
        <v>2.9561722651124001</v>
      </c>
      <c r="C56">
        <v>1.0341251268982887</v>
      </c>
      <c r="D56">
        <v>6.2934592366218567</v>
      </c>
      <c r="E56">
        <v>13.973744213581085</v>
      </c>
      <c r="F56">
        <v>8.386143296957016</v>
      </c>
      <c r="G56">
        <v>3.590518981218338</v>
      </c>
      <c r="H56">
        <v>1.1815852485597134</v>
      </c>
      <c r="I56">
        <v>1.3367202132940292</v>
      </c>
      <c r="J56">
        <v>4.0643796324729919</v>
      </c>
      <c r="K56">
        <v>16.143004596233368</v>
      </c>
      <c r="L56">
        <v>5.7794339954853058</v>
      </c>
      <c r="M56">
        <v>4.5313462615013123</v>
      </c>
      <c r="N56">
        <v>3.1288277357816696</v>
      </c>
      <c r="O56">
        <v>1.2636471539735794</v>
      </c>
      <c r="P56">
        <v>18.990395963191986</v>
      </c>
      <c r="Q56">
        <v>7.3464952409267426</v>
      </c>
      <c r="S56">
        <v>22.359887510538101</v>
      </c>
      <c r="T56">
        <v>20.20738422870636</v>
      </c>
      <c r="U56">
        <v>24.769829958677292</v>
      </c>
    </row>
    <row r="57" spans="1:21" x14ac:dyDescent="0.25">
      <c r="A57">
        <v>1990</v>
      </c>
      <c r="B57">
        <v>2.709398977458477</v>
      </c>
      <c r="C57">
        <v>0.62341289594769478</v>
      </c>
      <c r="D57">
        <v>6.4949169754981995</v>
      </c>
      <c r="E57">
        <v>10.356214642524719</v>
      </c>
      <c r="F57">
        <v>7.1662090718746185</v>
      </c>
      <c r="G57">
        <v>3.6138772964477539</v>
      </c>
      <c r="H57">
        <v>1.0066951625049114</v>
      </c>
      <c r="I57">
        <v>1.2361481785774231</v>
      </c>
      <c r="J57">
        <v>4.1844803839921951</v>
      </c>
      <c r="K57">
        <v>17.052461206912994</v>
      </c>
      <c r="L57">
        <v>6.6453568637371063</v>
      </c>
      <c r="M57">
        <v>6.38594850897789</v>
      </c>
      <c r="N57">
        <v>3.1807463616132736</v>
      </c>
      <c r="O57">
        <v>1.782798208296299</v>
      </c>
      <c r="P57">
        <v>20.878003537654877</v>
      </c>
      <c r="Q57">
        <v>6.6833280026912689</v>
      </c>
      <c r="S57">
        <v>17.522423714399338</v>
      </c>
      <c r="T57">
        <v>21.23694159090519</v>
      </c>
      <c r="U57">
        <v>27.523360401391983</v>
      </c>
    </row>
    <row r="58" spans="1:21" x14ac:dyDescent="0.25">
      <c r="A58">
        <v>2000</v>
      </c>
      <c r="B58">
        <v>2.2298421710729599</v>
      </c>
      <c r="C58">
        <v>0.38227732293307781</v>
      </c>
      <c r="D58">
        <v>6.8821869790554047</v>
      </c>
      <c r="E58">
        <v>9.0753950178623199</v>
      </c>
      <c r="F58">
        <v>5.5321387946605682</v>
      </c>
      <c r="G58">
        <v>3.7760745733976364</v>
      </c>
      <c r="H58">
        <v>1.0092579759657383</v>
      </c>
      <c r="I58">
        <v>1.1465713381767273</v>
      </c>
      <c r="J58">
        <v>3.4737590700387955</v>
      </c>
      <c r="K58">
        <v>17.260131239891052</v>
      </c>
      <c r="L58">
        <v>6.4793244004249573</v>
      </c>
      <c r="M58">
        <v>8.1543847918510437</v>
      </c>
      <c r="N58">
        <v>2.8271254152059555</v>
      </c>
      <c r="O58">
        <v>2.0292710512876511</v>
      </c>
      <c r="P58">
        <v>23.601913452148438</v>
      </c>
      <c r="Q58">
        <v>6.1403464525938034</v>
      </c>
      <c r="S58">
        <v>14.607533812522888</v>
      </c>
      <c r="T58">
        <v>20.733890309929848</v>
      </c>
      <c r="U58">
        <v>30.081237852573395</v>
      </c>
    </row>
    <row r="59" spans="1:21" x14ac:dyDescent="0.25">
      <c r="A59">
        <v>2010</v>
      </c>
      <c r="B59">
        <v>2.4275433272123337</v>
      </c>
      <c r="C59">
        <v>0.4947370383888483</v>
      </c>
      <c r="D59">
        <v>7.142060250043869</v>
      </c>
      <c r="E59">
        <v>6.7522153258323669</v>
      </c>
      <c r="F59">
        <v>4.1181407868862152</v>
      </c>
      <c r="G59">
        <v>3.6563612520694733</v>
      </c>
      <c r="H59">
        <v>0.75859185308218002</v>
      </c>
      <c r="I59">
        <v>0.85738012567162514</v>
      </c>
      <c r="J59">
        <v>2.7643453329801559</v>
      </c>
      <c r="K59">
        <v>18.230018019676208</v>
      </c>
      <c r="L59">
        <v>6.3345029950141907</v>
      </c>
      <c r="M59">
        <v>8.2804232835769653</v>
      </c>
      <c r="N59">
        <v>3.1340442597866058</v>
      </c>
      <c r="O59">
        <v>2.1403493359684944</v>
      </c>
      <c r="P59">
        <v>26.847359538078308</v>
      </c>
      <c r="Q59">
        <v>6.0619253665208817</v>
      </c>
      <c r="S59">
        <v>10.870356112718582</v>
      </c>
      <c r="T59">
        <v>20.994363352656364</v>
      </c>
      <c r="U59">
        <v>33.181862533092499</v>
      </c>
    </row>
    <row r="60" spans="1:21" x14ac:dyDescent="0.25">
      <c r="A60">
        <v>2018</v>
      </c>
      <c r="B60">
        <v>2.356322854757309</v>
      </c>
      <c r="C60">
        <v>0.48930537886917591</v>
      </c>
      <c r="D60">
        <v>7.0103690028190613</v>
      </c>
      <c r="E60">
        <v>6.3596576452255249</v>
      </c>
      <c r="F60">
        <v>3.7530321627855301</v>
      </c>
      <c r="G60">
        <v>4.4213514775037766</v>
      </c>
      <c r="H60">
        <v>0.64241145737469196</v>
      </c>
      <c r="I60">
        <v>0.8133426308631897</v>
      </c>
      <c r="J60">
        <v>2.4153711274266243</v>
      </c>
      <c r="K60">
        <v>17.90844053030014</v>
      </c>
      <c r="L60">
        <v>6.3340753316879272</v>
      </c>
      <c r="M60">
        <v>9.274851530790329</v>
      </c>
      <c r="N60">
        <v>3.0843567103147507</v>
      </c>
      <c r="O60">
        <v>2.1704070270061493</v>
      </c>
      <c r="P60">
        <v>27.42430567741394</v>
      </c>
      <c r="Q60">
        <v>5.5423945188522339</v>
      </c>
      <c r="S60">
        <v>10.112689808011055</v>
      </c>
      <c r="T60">
        <v>20.323811657726765</v>
      </c>
      <c r="U60">
        <v>33.758381009101868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EF25-5B38-413F-9A1D-6C30B4126523}">
  <dimension ref="A1:D17"/>
  <sheetViews>
    <sheetView workbookViewId="0">
      <selection activeCell="L35" sqref="L35"/>
    </sheetView>
  </sheetViews>
  <sheetFormatPr defaultRowHeight="15" x14ac:dyDescent="0.25"/>
  <sheetData>
    <row r="1" spans="1:4" x14ac:dyDescent="0.25">
      <c r="A1" t="s">
        <v>35</v>
      </c>
      <c r="C1" t="s">
        <v>36</v>
      </c>
      <c r="D1" t="s">
        <v>37</v>
      </c>
    </row>
    <row r="2" spans="1:4" x14ac:dyDescent="0.25">
      <c r="A2" t="s">
        <v>38</v>
      </c>
      <c r="B2" t="s">
        <v>54</v>
      </c>
      <c r="C2" s="9">
        <v>0.15128833055496216</v>
      </c>
      <c r="D2" s="9">
        <v>0.14791175723075867</v>
      </c>
    </row>
    <row r="3" spans="1:4" x14ac:dyDescent="0.25">
      <c r="A3" t="s">
        <v>39</v>
      </c>
      <c r="B3" t="s">
        <v>55</v>
      </c>
      <c r="C3" s="9">
        <v>7.8438416123390198E-2</v>
      </c>
      <c r="D3" s="9">
        <v>0.13787184655666351</v>
      </c>
    </row>
    <row r="4" spans="1:4" x14ac:dyDescent="0.25">
      <c r="A4" t="s">
        <v>40</v>
      </c>
      <c r="B4" t="s">
        <v>56</v>
      </c>
      <c r="C4" s="9">
        <v>6.0810711234807968E-2</v>
      </c>
      <c r="D4" s="9">
        <v>9.5109015703201294E-2</v>
      </c>
    </row>
    <row r="5" spans="1:4" x14ac:dyDescent="0.25">
      <c r="A5" t="s">
        <v>41</v>
      </c>
      <c r="B5" t="s">
        <v>57</v>
      </c>
      <c r="C5" s="9">
        <v>2.4606004357337952E-2</v>
      </c>
      <c r="D5" s="9">
        <v>5.328156054019928E-2</v>
      </c>
    </row>
    <row r="6" spans="1:4" x14ac:dyDescent="0.25">
      <c r="A6" t="s">
        <v>42</v>
      </c>
      <c r="B6" t="s">
        <v>58</v>
      </c>
      <c r="C6" s="9">
        <v>9.2865914106369019E-2</v>
      </c>
      <c r="D6" s="9">
        <v>5.6266408413648605E-2</v>
      </c>
    </row>
    <row r="7" spans="1:4" x14ac:dyDescent="0.25">
      <c r="A7" t="s">
        <v>43</v>
      </c>
      <c r="B7" t="s">
        <v>59</v>
      </c>
      <c r="C7" s="9">
        <v>8.6526729166507721E-2</v>
      </c>
      <c r="D7" s="9">
        <v>7.1959123015403748E-2</v>
      </c>
    </row>
    <row r="8" spans="1:4" x14ac:dyDescent="0.25">
      <c r="A8" t="s">
        <v>44</v>
      </c>
      <c r="B8" t="s">
        <v>60</v>
      </c>
      <c r="C8" s="9">
        <v>9.3266472220420837E-2</v>
      </c>
      <c r="D8" s="9">
        <v>7.3789343237876892E-2</v>
      </c>
    </row>
    <row r="9" spans="1:4" x14ac:dyDescent="0.25">
      <c r="A9" t="s">
        <v>45</v>
      </c>
      <c r="B9" t="s">
        <v>61</v>
      </c>
      <c r="C9" s="9">
        <v>0.13228736817836761</v>
      </c>
      <c r="D9" s="9">
        <v>9.1273970901966095E-2</v>
      </c>
    </row>
    <row r="10" spans="1:4" x14ac:dyDescent="0.25">
      <c r="A10" t="s">
        <v>46</v>
      </c>
      <c r="B10" t="s">
        <v>62</v>
      </c>
      <c r="C10" s="9">
        <v>0.1161925420165062</v>
      </c>
      <c r="D10" s="9">
        <v>0.11411100625991821</v>
      </c>
    </row>
    <row r="11" spans="1:4" x14ac:dyDescent="0.25">
      <c r="A11" t="s">
        <v>47</v>
      </c>
      <c r="B11" t="s">
        <v>63</v>
      </c>
      <c r="C11" s="9">
        <v>7.6768003404140472E-2</v>
      </c>
      <c r="D11" s="9">
        <v>7.5094625353813171E-2</v>
      </c>
    </row>
    <row r="12" spans="1:4" x14ac:dyDescent="0.25">
      <c r="A12" t="s">
        <v>48</v>
      </c>
      <c r="B12" t="s">
        <v>64</v>
      </c>
      <c r="C12" s="9">
        <v>8.0340050160884857E-2</v>
      </c>
      <c r="D12" s="9">
        <v>8.5678078234195709E-2</v>
      </c>
    </row>
    <row r="13" spans="1:4" x14ac:dyDescent="0.25">
      <c r="A13" t="s">
        <v>49</v>
      </c>
      <c r="B13" t="s">
        <v>65</v>
      </c>
      <c r="C13" s="9">
        <v>5.9609007090330124E-2</v>
      </c>
      <c r="D13" s="9">
        <v>7.1725137531757355E-2</v>
      </c>
    </row>
    <row r="14" spans="1:4" x14ac:dyDescent="0.25">
      <c r="A14" t="s">
        <v>50</v>
      </c>
      <c r="B14" t="s">
        <v>66</v>
      </c>
      <c r="C14" s="9">
        <v>6.4335763454437256E-2</v>
      </c>
      <c r="D14" s="9">
        <v>6.0633547604084015E-2</v>
      </c>
    </row>
    <row r="15" spans="1:4" x14ac:dyDescent="0.25">
      <c r="A15" t="s">
        <v>51</v>
      </c>
      <c r="B15" t="s">
        <v>67</v>
      </c>
      <c r="C15" s="9">
        <v>5.4985169321298599E-2</v>
      </c>
      <c r="D15" s="9">
        <v>4.743904247879982E-2</v>
      </c>
    </row>
    <row r="16" spans="1:4" x14ac:dyDescent="0.25">
      <c r="A16" t="s">
        <v>52</v>
      </c>
      <c r="B16" t="s">
        <v>68</v>
      </c>
      <c r="C16" s="9">
        <v>5.3294025361537933E-2</v>
      </c>
      <c r="D16" s="9">
        <v>4.6396549791097641E-2</v>
      </c>
    </row>
    <row r="17" spans="1:4" x14ac:dyDescent="0.25">
      <c r="A17" t="s">
        <v>53</v>
      </c>
      <c r="B17" t="s">
        <v>69</v>
      </c>
      <c r="C17" s="9">
        <v>2.9580283910036087E-2</v>
      </c>
      <c r="D17" s="9">
        <v>4.2922642081975937E-2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Figure2and4</vt:lpstr>
      <vt:lpstr>Figure3</vt:lpstr>
      <vt:lpstr>Figure5</vt:lpstr>
      <vt:lpstr>Figure6</vt:lpstr>
      <vt:lpstr>Figure11</vt:lpstr>
      <vt:lpstr>Figure12</vt:lpstr>
      <vt:lpstr>Figure13</vt:lpstr>
      <vt:lpstr>Figure14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Steinsson</dc:creator>
  <cp:lastModifiedBy>Jon Steinsson</cp:lastModifiedBy>
  <cp:lastPrinted>2026-08-26T20:54:23Z</cp:lastPrinted>
  <dcterms:created xsi:type="dcterms:W3CDTF">2025-05-05T23:39:15Z</dcterms:created>
  <dcterms:modified xsi:type="dcterms:W3CDTF">2026-08-26T23:33:11Z</dcterms:modified>
</cp:coreProperties>
</file>